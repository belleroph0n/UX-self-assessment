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riteria" sheetId="2" state="visible" r:id="rId4"/>
    <sheet name="Scoring" sheetId="3" state="visible" r:id="rId5"/>
    <sheet name="Criteria (simple)" sheetId="4" state="visible" r:id="rId6"/>
    <sheet name="Scoring (simple)" sheetId="5" state="visible" r:id="rId7"/>
    <sheet name="Materiality" sheetId="6" state="visible" r:id="rId8"/>
    <sheet name="Service tiers" sheetId="7" state="visible" r:id="rId9"/>
    <sheet name="Report (simple)" sheetId="8" state="visible" r:id="rId10"/>
    <sheet name="Sources" sheetId="9" state="visible" r:id="rId11"/>
    <sheet name="Version" sheetId="10" state="visible" r:id="rId12"/>
  </sheets>
  <definedNames>
    <definedName function="false" hidden="true" localSheetId="1" name="_xlnm._FilterDatabase" vbProcedure="false">Criteria!$A$1:$N$97</definedName>
    <definedName function="false" hidden="true" localSheetId="3" name="_xlnm._FilterDatabase" vbProcedure="false">'Criteria (simple)'!$A$1:$H$20</definedName>
    <definedName function="false" hidden="true" localSheetId="8" name="_xlnm._FilterDatabase" vbProcedure="false">Sources!$A$1:$H$55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<sst xmlns="http://schemas.openxmlformats.org/spreadsheetml/2006/main" count="2524" uniqueCount="1404">
  <si>
    <t xml:space="preserve">UX Health Check - Criteria Library</t>
  </si>
  <si>
    <t xml:space="preserve">v1.51 - 24 October 2026 - for NZ Government agencies (see the Version tab for change history)</t>
  </si>
  <si>
    <t xml:space="preserve">Purpose</t>
  </si>
  <si>
    <t xml:space="preserve">What this is</t>
  </si>
  <si>
    <t xml:space="preserve">A library of self-assessment criteria for a 'UX health check' of a website or application, covering accessibility, usability, content, brand, security and privacy, reliability and service levels, support, legal obligations, content management and measurement. Each row is designed to become one question in the app, with its scoring weight, report recommendation and source.</t>
  </si>
  <si>
    <t xml:space="preserve">Intended use</t>
  </si>
  <si>
    <t xml:space="preserve">Source of truth for the app's question bank and scoring. The 'Criteria (simple)' tab is the proposed basis for the app; the full 'Criteria' tab is the detailed reference set. Export either to CSV or JSON to seed the app.</t>
  </si>
  <si>
    <t xml:space="preserve">Status</t>
  </si>
  <si>
    <t xml:space="preserve">Released as v1.00 for review and piloting. Weights, critical flags and wording should be validated with practitioners (accessibility, security, service owners) and tested on 2-3 real services before formal use.</t>
  </si>
  <si>
    <t xml:space="preserve">Tabs</t>
  </si>
  <si>
    <t xml:space="preserve">Criteria</t>
  </si>
  <si>
    <t xml:space="preserve">Detailed set: 96 criteria. Columns A-N are the library. Columns P-V are a test harness: enter answers in the yellow Test answer column to see how the scoring behaves. Columns W-X hold a short-labelled supporting link for each criterion, shown with its recommendation in the report.</t>
  </si>
  <si>
    <t xml:space="preserve">Scoring</t>
  </si>
  <si>
    <t xml:space="preserve">Scoring for the detailed set: parameters, category weights out of 100, overall score, critical-failure cap, rating band and the top 5 key recommendations.</t>
  </si>
  <si>
    <t xml:space="preserve">Criteria (simple)</t>
  </si>
  <si>
    <t xml:space="preserve">Simple set: only the criteria with weight 3 (the highest-importance criteria) - 19 questions across all 10 categories. Shows only the question, category, critical flag, recommendation, source, NZ status and applicability - no evidence prompts or weights. Text is pulled live from the Criteria tab by ID, so wording edits flow through. Answer in the yellow Answer column.</t>
  </si>
  <si>
    <t xml:space="preserve">Scoring (simple)</t>
  </si>
  <si>
    <t xml:space="preserve">Scores the simple set out of 100, using the same method as the detailed set. Its parameters and category points are separate, so the simple model can be tuned without affecting the detailed one.</t>
  </si>
  <si>
    <t xml:space="preserve">Materiality</t>
  </si>
  <si>
    <t xml:space="preserve">Separate assessment of how much the application matters - to its users and to the organisation - on a 5-point scale (1 Immaterial to 5 Critical), from 10 factor questions. It is not part of the UX health score and is reported separately.</t>
  </si>
  <si>
    <t xml:space="preserve">Service tiers</t>
  </si>
  <si>
    <t xml:space="preserve">Proposed service tier definitions (Platinum, Gold, Silver, Bronze) with availability, support, incident, recovery, monitoring and health check expectations. The suggested tier follows from the materiality rating.</t>
  </si>
  <si>
    <t xml:space="preserve">Report (simple)</t>
  </si>
  <si>
    <t xml:space="preserve">Preview of the output report for the simple set: UX health score and rating, materiality rating and service tier shown separately, key recommendations and category results. The app's report should follow this layout.</t>
  </si>
  <si>
    <t xml:space="preserve">Sources</t>
  </si>
  <si>
    <t xml:space="preserve">Every standard, law, guide and tool referenced, with version/status, a live link checked on 24 October 2026, how the link was checked, and licence notes for reusing wording.</t>
  </si>
  <si>
    <t xml:space="preserve">Version</t>
  </si>
  <si>
    <t xml:space="preserve">Version history. Each release has one row recording what changed, how the framework was developed and why.</t>
  </si>
  <si>
    <t xml:space="preserve">Editing legend</t>
  </si>
  <si>
    <t xml:space="preserve">Yellow cells</t>
  </si>
  <si>
    <t xml:space="preserve">Inputs you can change - answers, answer point values, critical cap, rating thresholds, category points.</t>
  </si>
  <si>
    <t xml:space="preserve">Grey cells</t>
  </si>
  <si>
    <t xml:space="preserve">Formulas - do not overwrite.</t>
  </si>
  <si>
    <t xml:space="preserve">Sample answers</t>
  </si>
  <si>
    <t xml:space="preserve">The answer columns on both criteria tabs are pre-filled with illustrative sample answers so the scoring can be seen working. They do not describe any real service. Clear or replace them.</t>
  </si>
  <si>
    <t xml:space="preserve">Simple set membership</t>
  </si>
  <si>
    <t xml:space="preserve">The 13 rows in Criteria (simple) were selected because their weight is 3. If you change a weight on the Criteria tab, add or remove the matching ID on Criteria (simple) by hand - membership is not automatic.</t>
  </si>
  <si>
    <t xml:space="preserve">Criteria columns</t>
  </si>
  <si>
    <t xml:space="preserve">ID</t>
  </si>
  <si>
    <t xml:space="preserve">Stable key for the app (category prefix + number). Don't reuse IDs for different criteria.</t>
  </si>
  <si>
    <t xml:space="preserve">Category / Sub-category</t>
  </si>
  <si>
    <t xml:space="preserve">Ten categories (see Scoring tab) with sub-categories for grouping in the report.</t>
  </si>
  <si>
    <t xml:space="preserve">Question</t>
  </si>
  <si>
    <t xml:space="preserve">Worded for a self-assessor. Answered Yes / Partial / No / N/A.</t>
  </si>
  <si>
    <t xml:space="preserve">Evidence prompt</t>
  </si>
  <si>
    <t xml:space="preserve">What the assessor should be able to show (detailed set only).</t>
  </si>
  <si>
    <t xml:space="preserve">Weight (1-3)</t>
  </si>
  <si>
    <t xml:space="preserve">Relative importance within its category: 3 = high, 2 = medium, 1 = low. Weight 3 rows form the simple set.</t>
  </si>
  <si>
    <t xml:space="preserve">Critical (Y/N)</t>
  </si>
  <si>
    <t xml:space="preserve">A 'No' on any critical criterion caps the overall score. Partial does not trigger the cap.</t>
  </si>
  <si>
    <t xml:space="preserve">Recommendation</t>
  </si>
  <si>
    <t xml:space="preserve">Text shown in the report when the answer is Partial or No.</t>
  </si>
  <si>
    <t xml:space="preserve">Source / Source version</t>
  </si>
  <si>
    <t xml:space="preserve">Where the criterion comes from, so it can be updated when the source changes.</t>
  </si>
  <si>
    <t xml:space="preserve">NZ status</t>
  </si>
  <si>
    <t xml:space="preserve">Mandatory (NZ) = required by NZ law or an all-of-government standard for mandated organisations. Recommended (NZ) = NZ Government guidance, draft standards or expected practice. Good practice = international practice with no NZ mandate.</t>
  </si>
  <si>
    <t xml:space="preserve">Applies to</t>
  </si>
  <si>
    <t xml:space="preserve">All, Public-facing, Transactional, Authenticated, Uses media, Uses CMS, Uses AI. The app can use this to hide irrelevant questions; otherwise answer N/A.</t>
  </si>
  <si>
    <t xml:space="preserve">Review notes</t>
  </si>
  <si>
    <t xml:space="preserve">Known upcoming changes, licence cautions and interpretation notes.</t>
  </si>
  <si>
    <t xml:space="preserve">Scoring model (both sets)</t>
  </si>
  <si>
    <t xml:space="preserve">Answer points</t>
  </si>
  <si>
    <t xml:space="preserve">Yes = 1, Partial = 0.5, No = 0. N/A and blank answers are excluded from both earned and available points.</t>
  </si>
  <si>
    <t xml:space="preserve">Category score</t>
  </si>
  <si>
    <t xml:space="preserve">(points earned) / (points available) x category points. Categories with no applicable answers are excluded and the rest are rescaled to 100.</t>
  </si>
  <si>
    <t xml:space="preserve">Overall score</t>
  </si>
  <si>
    <t xml:space="preserve">Sum of category scores, out of 100. If any critical criterion is answered No, the overall score is capped (default 60).</t>
  </si>
  <si>
    <t xml:space="preserve">Points lost</t>
  </si>
  <si>
    <t xml:space="preserve">For each Partial or No, the points it cost the overall score. Used to rank key recommendations (critical failures always rank first).</t>
  </si>
  <si>
    <t xml:space="preserve">Important caveats</t>
  </si>
  <si>
    <t xml:space="preserve">Changing NZ standards</t>
  </si>
  <si>
    <t xml:space="preserve">The Web Accessibility Standard 1.2 (WCAG 2.2 AA) is expected to be replaced by the Digital Accessibility Standard (based on EN 301 549) in early 2027. The Digital Service Design Standard is being refreshed, and Web Usability Standard requirements are expected to become guidance within it. A bill to repeal the Plain Language Act 2022 was before Parliament at the time of release. Affected rows are flagged in Review notes.</t>
  </si>
  <si>
    <t xml:space="preserve">Mandated organisations</t>
  </si>
  <si>
    <t xml:space="preserve">'Mandatory (NZ)' standards apply to the organisations each standard mandates (for the Web Standards, public service departments and non-public service departments in the Executive branch). Crown entities and local government may not be mandated. Legislation applies according to its own scope.</t>
  </si>
  <si>
    <t xml:space="preserve">Automated testing</t>
  </si>
  <si>
    <t xml:space="preserve">Automated accessibility tools find only a subset of WCAG issues. Accessibility assessment should include manual and assistive technology testing.</t>
  </si>
  <si>
    <t xml:space="preserve">Not legal advice</t>
  </si>
  <si>
    <t xml:space="preserve">Legal and regulatory references identify relevant obligations; agencies should confirm applicability with their own legal and privacy advisors.</t>
  </si>
  <si>
    <t xml:space="preserve">Reusing wording</t>
  </si>
  <si>
    <t xml:space="preserve">All questions and recommendations are original wording written for this library. OWASP ASVS is referenced by chapter ID only, with no ASVS text reproduced. Check the Sources tab before copying text from any source into the app.</t>
  </si>
  <si>
    <t xml:space="preserve">Links</t>
  </si>
  <si>
    <t xml:space="preserve">All links on the Sources tab were checked against live pages on 24 October 2026. Re-check before publishing in the app.</t>
  </si>
  <si>
    <t xml:space="preserve">Category</t>
  </si>
  <si>
    <t xml:space="preserve">Sub-category</t>
  </si>
  <si>
    <t xml:space="preserve">Answer type</t>
  </si>
  <si>
    <t xml:space="preserve">Recommendation (shown if Partial/No)</t>
  </si>
  <si>
    <t xml:space="preserve">Source</t>
  </si>
  <si>
    <t xml:space="preserve">Source version</t>
  </si>
  <si>
    <t xml:space="preserve">Test answer</t>
  </si>
  <si>
    <t xml:space="preserve">Weighted earned</t>
  </si>
  <si>
    <t xml:space="preserve">Weighted available</t>
  </si>
  <si>
    <t xml:space="preserve">Report recommendation</t>
  </si>
  <si>
    <t xml:space="preserve">Rank key</t>
  </si>
  <si>
    <t xml:space="preserve">Supporting link label</t>
  </si>
  <si>
    <t xml:space="preserve">Supporting link</t>
  </si>
  <si>
    <t xml:space="preserve">ACC-01</t>
  </si>
  <si>
    <t xml:space="preserve">Accessibility</t>
  </si>
  <si>
    <t xml:space="preserve">Conformance</t>
  </si>
  <si>
    <t xml:space="preserve">Has the service been assessed against WCAG 2.2 Level AA in the last 12 months, including manual testing (not automated tools alone)?</t>
  </si>
  <si>
    <t xml:space="preserve">Yes / Partial / No / N/A</t>
  </si>
  <si>
    <t xml:space="preserve">Dated accessibility audit report covering the service's key pages and complete processes, with manual test results.</t>
  </si>
  <si>
    <t xml:space="preserve">Y</t>
  </si>
  <si>
    <t xml:space="preserve">Commission or complete a WCAG 2.2 AA assessment that includes manual and assistive technology testing, covering every page in each complete process, and repeat it at least annually or after major change.</t>
  </si>
  <si>
    <t xml:space="preserve">NZ Government Web Accessibility Standard; WCAG 2.2</t>
  </si>
  <si>
    <t xml:space="preserve">WAS 1.2 (from 17 Mar 2025); WCAG 2.2 AA</t>
  </si>
  <si>
    <t xml:space="preserve">Mandatory (NZ)</t>
  </si>
  <si>
    <t xml:space="preserve">All</t>
  </si>
  <si>
    <t xml:space="preserve">Draft Digital Accessibility Standard (DAS), based on EN 301 549, expected to replace WAS in early 2027. Review wording when DAS is final.</t>
  </si>
  <si>
    <t xml:space="preserve">Yes</t>
  </si>
  <si>
    <t xml:space="preserve">NZ Web Accessibility Standard 1.2</t>
  </si>
  <si>
    <t xml:space="preserve">https://www.digital.govt.nz/standards-and-guidance/nz-government-web-standards/web-accessibility-standard-1-2</t>
  </si>
  <si>
    <t xml:space="preserve">ACC-02</t>
  </si>
  <si>
    <t xml:space="preserve">Assistive technology</t>
  </si>
  <si>
    <t xml:space="preserve">Have the service's key tasks been tested end to end with screen readers on both desktop and mobile (for example NVDA or JAWS, VoiceOver, TalkBack)?</t>
  </si>
  <si>
    <t xml:space="preserve">Test scripts and results per screen reader/browser combination, dated, with issues logged.</t>
  </si>
  <si>
    <t xml:space="preserve">N</t>
  </si>
  <si>
    <t xml:space="preserve">Test every key task with at least one desktop and one mobile screen reader, ideally including blind and low vision users, and fix issues that stop tasks being completed.</t>
  </si>
  <si>
    <t xml:space="preserve">WCAG 2.2 SC 4.1.2, 1.3.1; W3C WCAG-EM</t>
  </si>
  <si>
    <t xml:space="preserve">WCAG 2.2; WCAG-EM 2.0 (Jul 2026)</t>
  </si>
  <si>
    <t xml:space="preserve">Recommended (NZ)</t>
  </si>
  <si>
    <t xml:space="preserve">W3C accessibility evaluation methodology</t>
  </si>
  <si>
    <t xml:space="preserve">https://www.w3.org/WAI/test-evaluate/conformance/wcag-em/</t>
  </si>
  <si>
    <t xml:space="preserve">ACC-03</t>
  </si>
  <si>
    <t xml:space="preserve">Perceivable</t>
  </si>
  <si>
    <t xml:space="preserve">Do all images, icons, charts and other non-text content have appropriate text alternatives (or are marked as decorative)?</t>
  </si>
  <si>
    <t xml:space="preserve">Audit findings for SC 1.1.1; content guidance requiring alt text; CMS alt text field usage.</t>
  </si>
  <si>
    <t xml:space="preserve">Provide meaningful text alternatives for informative images, icons and charts, mark decorative images so screen readers skip them, and provide data tables for complex charts.</t>
  </si>
  <si>
    <t xml:space="preserve">WCAG 2.2 SC 1.1.1</t>
  </si>
  <si>
    <t xml:space="preserve">WCAG 2.2 A</t>
  </si>
  <si>
    <t xml:space="preserve">Partial</t>
  </si>
  <si>
    <t xml:space="preserve">WCAG 2.2 quick reference</t>
  </si>
  <si>
    <t xml:space="preserve">https://www.w3.org/WAI/WCAG22/quickref/</t>
  </si>
  <si>
    <t xml:space="preserve">ACC-04</t>
  </si>
  <si>
    <t xml:space="preserve">Is page structure conveyed programmatically - meaningful page titles, headings, landmarks, lists, table headers and form labels?</t>
  </si>
  <si>
    <t xml:space="preserve">Audit findings for SC 1.3.1, 2.4.2, 2.4.6; screen reader heading/landmark navigation test.</t>
  </si>
  <si>
    <t xml:space="preserve">Use semantic HTML (headings, landmarks, lists, labelled controls) and unique, descriptive page titles so screen reader users can understand and navigate the structure.</t>
  </si>
  <si>
    <t xml:space="preserve">WCAG 2.2 SC 1.3.1, 2.4.2, 2.4.6</t>
  </si>
  <si>
    <t xml:space="preserve">WCAG 2.2 A/AA</t>
  </si>
  <si>
    <t xml:space="preserve">ACC-05</t>
  </si>
  <si>
    <t xml:space="preserve">Operable</t>
  </si>
  <si>
    <t xml:space="preserve">Can every function be used with a keyboard alone, with no keyboard traps, a logical focus order, and a visible focus indicator that is not hidden by other content?</t>
  </si>
  <si>
    <t xml:space="preserve">Keyboard-only test of each key task; audit findings for SC 2.1.1, 2.1.2, 2.4.3, 2.4.7, 2.4.11.</t>
  </si>
  <si>
    <t xml:space="preserve">Make all functionality keyboard operable, remove keyboard traps, keep focus order logical and ensure the focus indicator is always visible and not obscured by sticky headers, banners or overlays.</t>
  </si>
  <si>
    <t xml:space="preserve">WCAG 2.2 SC 2.1.1, 2.1.2, 2.4.3, 2.4.7, 2.4.11</t>
  </si>
  <si>
    <t xml:space="preserve">ACC-06</t>
  </si>
  <si>
    <t xml:space="preserve">Low vision</t>
  </si>
  <si>
    <t xml:space="preserve">Do text, icons, form borders and focus indicators meet WCAG contrast ratios (4.5:1 for normal text, 3:1 for large text and non-text elements)?</t>
  </si>
  <si>
    <t xml:space="preserve">Contrast check results for brand palette and UI components; audit findings for SC 1.4.3 and 1.4.11.</t>
  </si>
  <si>
    <t xml:space="preserve">Check all text and interface components against WCAG contrast ratios and adjust colour tokens in the design system so every combination in use passes.</t>
  </si>
  <si>
    <t xml:space="preserve">WCAG 2.2 SC 1.4.3, 1.4.11</t>
  </si>
  <si>
    <t xml:space="preserve">WCAG 2.2 AA</t>
  </si>
  <si>
    <t xml:space="preserve">ACC-07</t>
  </si>
  <si>
    <t xml:space="preserve">Does content remain usable when text is resized to 200% and when zoomed to 400% (320 CSS pixels wide) without loss of content or horizontal scrolling?</t>
  </si>
  <si>
    <t xml:space="preserve">Zoom and reflow test results on key pages; audit findings for SC 1.4.4, 1.4.10, 1.4.12.</t>
  </si>
  <si>
    <t xml:space="preserve">Use responsive layouts and relative units so content reflows at 400% zoom and text spacing can be increased without content being cut off or overlapping.</t>
  </si>
  <si>
    <t xml:space="preserve">WCAG 2.2 SC 1.4.4, 1.4.10, 1.4.12</t>
  </si>
  <si>
    <t xml:space="preserve">ACC-08</t>
  </si>
  <si>
    <t xml:space="preserve">Is information never conveyed by colour alone (for example error states, required fields, chart series, status indicators)?</t>
  </si>
  <si>
    <t xml:space="preserve">Audit findings for SC 1.4.1; review of status and error patterns.</t>
  </si>
  <si>
    <t xml:space="preserve">Pair colour with text, icons or patterns so information is still available to people who cannot perceive colour differences.</t>
  </si>
  <si>
    <t xml:space="preserve">WCAG 2.2 SC 1.4.1</t>
  </si>
  <si>
    <t xml:space="preserve">ACC-09</t>
  </si>
  <si>
    <t xml:space="preserve">Forms</t>
  </si>
  <si>
    <t xml:space="preserve">Do forms have visible labels and instructions, identify errors in text, suggest corrections, and announce status messages to assistive technology?</t>
  </si>
  <si>
    <t xml:space="preserve">Audit findings for SC 3.3.1, 3.3.2, 3.3.3, 4.1.3; screen reader test of form errors.</t>
  </si>
  <si>
    <t xml:space="preserve">Give every field a visible label and clear instructions, describe errors in text next to the field and in a summary, suggest how to fix them, and announce status changes to screen readers.</t>
  </si>
  <si>
    <t xml:space="preserve">WCAG 2.2 SC 3.3.1, 3.3.2, 3.3.3, 4.1.3</t>
  </si>
  <si>
    <t xml:space="preserve">Transactional</t>
  </si>
  <si>
    <t xml:space="preserve">ACC-10</t>
  </si>
  <si>
    <t xml:space="preserve">Does sign-in avoid cognitive function tests (such as remembering or transcribing codes without paste or password manager support), and does the service avoid asking for the same information twice?</t>
  </si>
  <si>
    <t xml:space="preserve">Audit findings for SC 3.3.7 and 3.3.8 (new in WCAG 2.2); sign-in flow review.</t>
  </si>
  <si>
    <t xml:space="preserve">Allow paste and password managers, offer alternatives to puzzles or memory tests at sign-in, and auto-fill or let users select information they have already given.</t>
  </si>
  <si>
    <t xml:space="preserve">WCAG 2.2 SC 3.3.7, 3.3.8</t>
  </si>
  <si>
    <t xml:space="preserve">Authenticated</t>
  </si>
  <si>
    <t xml:space="preserve">ACC-11</t>
  </si>
  <si>
    <t xml:space="preserve">Mobile</t>
  </si>
  <si>
    <t xml:space="preserve">Are touch targets large enough (at least 24 by 24 CSS pixels or adequately spaced), and can actions that use dragging or multi-point gestures also be done with a single tap?</t>
  </si>
  <si>
    <t xml:space="preserve">Audit findings for SC 2.5.7, 2.5.8; mobile device testing.</t>
  </si>
  <si>
    <t xml:space="preserve">Size and space interactive targets to at least 24 by 24 CSS pixels and provide single-pointer alternatives for drag and gesture interactions.</t>
  </si>
  <si>
    <t xml:space="preserve">WCAG 2.2 SC 2.5.7, 2.5.8</t>
  </si>
  <si>
    <t xml:space="preserve">ACC-12</t>
  </si>
  <si>
    <t xml:space="preserve">Media</t>
  </si>
  <si>
    <t xml:space="preserve">Do videos and audio have captions, transcripts and (where needed) audio description?</t>
  </si>
  <si>
    <t xml:space="preserve">Media inventory showing captions, transcripts and audio description status.</t>
  </si>
  <si>
    <t xml:space="preserve">Provide captions and transcripts for all prerecorded media and audio description where visual information is not otherwise conveyed, noting the specific exceptions in the Web Accessibility Standard.</t>
  </si>
  <si>
    <t xml:space="preserve">WCAG 2.2 SC 1.2.1, 1.2.2, 1.2.5; WAS 1.2 exceptions</t>
  </si>
  <si>
    <t xml:space="preserve">WCAG 2.2 A/AA; WAS 1.2</t>
  </si>
  <si>
    <t xml:space="preserve">Uses media</t>
  </si>
  <si>
    <t xml:space="preserve">WAS 1.2 modifies some media requirements (e.g. live captions, audio description). Check current exceptions.</t>
  </si>
  <si>
    <t xml:space="preserve">ACC-13</t>
  </si>
  <si>
    <t xml:space="preserve">Documents</t>
  </si>
  <si>
    <t xml:space="preserve">Are PDFs, Word and other documents published by the service accessible, or accompanied by an accessible HTML alternative?</t>
  </si>
  <si>
    <t xml:space="preserve">Document inventory with accessibility status; publishing guidance.</t>
  </si>
  <si>
    <t xml:space="preserve">Publish key content as HTML first; where documents are needed, make them accessible (tagged, structured, with alt text) or provide an accessible alternative.</t>
  </si>
  <si>
    <t xml:space="preserve">NZ Government Web Accessibility Guide (accessibility-supported technologies); draft DAS</t>
  </si>
  <si>
    <t xml:space="preserve">WAS 1.2; DAS draft (Jul 2026)</t>
  </si>
  <si>
    <t xml:space="preserve">Draft DAS extends scope beyond websites to documents, emails and mobile apps.</t>
  </si>
  <si>
    <t xml:space="preserve">NZ Digital Accessibility Standard (draft)</t>
  </si>
  <si>
    <t xml:space="preserve">https://www.digital.govt.nz/standards-and-guidance/nz-government-web-standards/digital-accessibility-standard</t>
  </si>
  <si>
    <t xml:space="preserve">ACC-14</t>
  </si>
  <si>
    <t xml:space="preserve">Process</t>
  </si>
  <si>
    <t xml:space="preserve">Is automated accessibility testing built into the design, build and release process (for example axe-core, Pa11y or CWAC) so detectable errors are caught before release?</t>
  </si>
  <si>
    <t xml:space="preserve">CI/CD configuration or test reports; CWAC scan results for the service.</t>
  </si>
  <si>
    <t xml:space="preserve">Add automated accessibility checks to the build pipeline and content publishing workflow, and treat new automatically detectable errors as release blockers.</t>
  </si>
  <si>
    <t xml:space="preserve">GCDO guidance on CWAC and automated testing</t>
  </si>
  <si>
    <t xml:space="preserve">CWAC (open source)</t>
  </si>
  <si>
    <t xml:space="preserve">Automated tests detect only a subset of WCAG issues; never use as the sole evidence for ACC-01. CWAC is open source (GPL-3.0).</t>
  </si>
  <si>
    <t xml:space="preserve">CWAC accessibility checker (GitHub)</t>
  </si>
  <si>
    <t xml:space="preserve">https://github.com/GOVTNZ/cwac</t>
  </si>
  <si>
    <t xml:space="preserve">ACC-15</t>
  </si>
  <si>
    <t xml:space="preserve">Reporting</t>
  </si>
  <si>
    <t xml:space="preserve">Is there a published accessibility statement giving conformance status, known issues, alternatives and how to report a problem, and a risk assessment and management plan for any non-conformance?</t>
  </si>
  <si>
    <t xml:space="preserve">Accessibility statement URL; risk assessment and management plan.</t>
  </si>
  <si>
    <t xml:space="preserve">Publish and maintain an accessibility statement, and document a risk assessment and management plan for any areas that do not yet conform, with dates for fixes.</t>
  </si>
  <si>
    <t xml:space="preserve">Web Accessibility Standard 1.2 s4 (assessment and reporting, incl. risk assessment and management plan)</t>
  </si>
  <si>
    <t xml:space="preserve">WAS 1.2</t>
  </si>
  <si>
    <t xml:space="preserve">Public-facing</t>
  </si>
  <si>
    <t xml:space="preserve">ACC-16</t>
  </si>
  <si>
    <t xml:space="preserve">Inclusion</t>
  </si>
  <si>
    <t xml:space="preserve">Have disabled people (including blind and low vision users) been included in user research and usability testing for this service?</t>
  </si>
  <si>
    <t xml:space="preserve">Research plans and participant summaries showing disabled participants and assistive technology used.</t>
  </si>
  <si>
    <t xml:space="preserve">Recruit disabled people, including assistive technology users, into research and usability testing at each major stage of design and change.</t>
  </si>
  <si>
    <t xml:space="preserve">Digital Service Design Standard; AU Digital Service Standard 2.0 criterion 3 (leave no one behind)</t>
  </si>
  <si>
    <t xml:space="preserve">DSDS 2018 (refresh underway); AU DSS 2.0</t>
  </si>
  <si>
    <t xml:space="preserve">GOV.UK: making services more inclusive</t>
  </si>
  <si>
    <t xml:space="preserve">https://www.gov.uk/service-manual/design/making-your-service-more-inclusive</t>
  </si>
  <si>
    <t xml:space="preserve">ACC-17</t>
  </si>
  <si>
    <t xml:space="preserve">Maturity</t>
  </si>
  <si>
    <t xml:space="preserve">Does the organisation have accessibility roles, training, and accessibility requirements in procurement and vendor contracts that apply to this service?</t>
  </si>
  <si>
    <t xml:space="preserve">Role descriptions, training records, contract clauses requiring WCAG 2.2 AA.</t>
  </si>
  <si>
    <t xml:space="preserve">Assign accessibility accountability, train designers, developers and content authors, and include accessibility conformance requirements and acceptance testing in vendor contracts.</t>
  </si>
  <si>
    <t xml:space="preserve">W3C Accessibility Maturity Model</t>
  </si>
  <si>
    <t xml:space="preserve">W3C Group Note (Nov 2025)</t>
  </si>
  <si>
    <t xml:space="preserve">Good practice</t>
  </si>
  <si>
    <t xml:space="preserve">https://www.w3.org/TR/maturity-model/</t>
  </si>
  <si>
    <t xml:space="preserve">UXD-01</t>
  </si>
  <si>
    <t xml:space="preserve">Usability and design</t>
  </si>
  <si>
    <t xml:space="preserve">Responsive design</t>
  </si>
  <si>
    <t xml:space="preserve">Is the service responsive or adaptive, so content and controls scale and reflow correctly across phone, tablet and desktop screen sizes and orientations?</t>
  </si>
  <si>
    <t xml:space="preserve">Device/browser test matrix results; analytics showing device mix.</t>
  </si>
  <si>
    <t xml:space="preserve">Ensure the application is adaptive, so content and objects scale to the user's screen size and orientation, and test key tasks on the devices your users actually use.</t>
  </si>
  <si>
    <t xml:space="preserve">OMB M-23-22 (design pillar); WCAG 2.2 SC 1.3.4, 1.4.10</t>
  </si>
  <si>
    <t xml:space="preserve">M-23-22 (2023); WCAG 2.2</t>
  </si>
  <si>
    <t xml:space="preserve">GOV.UK: services that work on mobile</t>
  </si>
  <si>
    <t xml:space="preserve">https://www.gov.uk/service-manual/technology/working-with-mobile-technology</t>
  </si>
  <si>
    <t xml:space="preserve">UXD-02</t>
  </si>
  <si>
    <t xml:space="preserve">User research</t>
  </si>
  <si>
    <t xml:space="preserve">Has research with real users of this service (not proxies) informed its design or changes in the last 12 months?</t>
  </si>
  <si>
    <t xml:space="preserve">Research reports, insights repository, decisions traced to research.</t>
  </si>
  <si>
    <t xml:space="preserve">Run regular user research with people who use the service, including those who struggle, and record how findings change the service.</t>
  </si>
  <si>
    <t xml:space="preserve">GOV.UK Service Standard point 1; AU DSS 2.0 criterion 2; Digital Service Design Standard</t>
  </si>
  <si>
    <t xml:space="preserve">GOV.UK SS (2019); AU DSS 2.0</t>
  </si>
  <si>
    <t xml:space="preserve">GOV.UK: understand users and needs</t>
  </si>
  <si>
    <t xml:space="preserve">https://www.gov.uk/service-manual/service-standard/point-1-understand-user-needs</t>
  </si>
  <si>
    <t xml:space="preserve">UXD-03</t>
  </si>
  <si>
    <t xml:space="preserve">Usability testing</t>
  </si>
  <si>
    <t xml:space="preserve">Have the service's key tasks been usability tested with representative users, with task success and problem areas measured?</t>
  </si>
  <si>
    <t xml:space="preserve">Usability test reports with task completion rates and severity-rated issues.</t>
  </si>
  <si>
    <t xml:space="preserve">Usability test the most important tasks with representative users at least annually and after significant change, and fix high-severity issues first.</t>
  </si>
  <si>
    <t xml:space="preserve">GOV.UK Service Standard point 4; ISO 9241-11</t>
  </si>
  <si>
    <t xml:space="preserve">GOV.UK SS; ISO 9241-11:2018</t>
  </si>
  <si>
    <t xml:space="preserve">GOV.UK: make the service simple</t>
  </si>
  <si>
    <t xml:space="preserve">https://www.gov.uk/service-manual/service-standard/point-4-make-the-service-simple-to-use</t>
  </si>
  <si>
    <t xml:space="preserve">UXD-04</t>
  </si>
  <si>
    <t xml:space="preserve">Heuristics</t>
  </si>
  <si>
    <t xml:space="preserve">Has the service been reviewed against recognised usability heuristics (for example Nielsen's 10 usability heuristics) in the last 12 months?</t>
  </si>
  <si>
    <t xml:space="preserve">Heuristic review findings with severity ratings.</t>
  </si>
  <si>
    <t xml:space="preserve">Complete a heuristic review against Nielsen's 10 usability heuristics and add findings to the improvement backlog.</t>
  </si>
  <si>
    <t xml:space="preserve">Nielsen's 10 usability heuristics (NN/g)</t>
  </si>
  <si>
    <t xml:space="preserve">1994, updated 2020</t>
  </si>
  <si>
    <t xml:space="preserve">Reuse heuristic names and concepts; write your own descriptions rather than copying NN/g text.</t>
  </si>
  <si>
    <t xml:space="preserve">NN/g: running a heuristic evaluation</t>
  </si>
  <si>
    <t xml:space="preserve">https://www.nngroup.com/articles/how-to-conduct-a-heuristic-evaluation/</t>
  </si>
  <si>
    <t xml:space="preserve">UXD-05</t>
  </si>
  <si>
    <t xml:space="preserve">Feedback</t>
  </si>
  <si>
    <t xml:space="preserve">Does the service always tell users what is happening - loading, saving, submitting - and give clear confirmation of what has been done and what happens next?</t>
  </si>
  <si>
    <t xml:space="preserve">Screens for loading, success and confirmation states; confirmation messages/emails.</t>
  </si>
  <si>
    <t xml:space="preserve">Show clear progress and loading states, and give a confirmation page and message with a reference number and what happens next for every completed transaction.</t>
  </si>
  <si>
    <t xml:space="preserve">Nielsen heuristic 1 (visibility of system status)</t>
  </si>
  <si>
    <t xml:space="preserve">NN/g: 10 usability heuristics</t>
  </si>
  <si>
    <t xml:space="preserve">https://www.nngroup.com/articles/ten-usability-heuristics/</t>
  </si>
  <si>
    <t xml:space="preserve">UXD-06</t>
  </si>
  <si>
    <t xml:space="preserve">Findability</t>
  </si>
  <si>
    <t xml:space="preserve">Can users find what they need - clear navigation, labels in users' language, and site search that returns relevant results?</t>
  </si>
  <si>
    <t xml:space="preserve">Tree test or findability results; search analytics (top queries, zero-result searches).</t>
  </si>
  <si>
    <t xml:space="preserve">Structure navigation around user tasks, test it with users, and monitor search queries to improve labels and results.</t>
  </si>
  <si>
    <t xml:space="preserve">OMB M-23-22 (search pillar); Nielsen heuristic 2</t>
  </si>
  <si>
    <t xml:space="preserve">M-23-22</t>
  </si>
  <si>
    <t xml:space="preserve">UXD-07</t>
  </si>
  <si>
    <t xml:space="preserve">Errors</t>
  </si>
  <si>
    <t xml:space="preserve">Does the service prevent errors and help users recover - confirming destructive actions, saving progress, and explaining errors in plain language?</t>
  </si>
  <si>
    <t xml:space="preserve">Error message inventory; save-and-return feature; confirmation patterns.</t>
  </si>
  <si>
    <t xml:space="preserve">Prevent common errors with good defaults and validation, let users save and return to long forms, and write error messages that say what went wrong and how to fix it.</t>
  </si>
  <si>
    <t xml:space="preserve">Nielsen heuristics 3, 5 and 9</t>
  </si>
  <si>
    <t xml:space="preserve">UXD-08</t>
  </si>
  <si>
    <t xml:space="preserve">Design system</t>
  </si>
  <si>
    <t xml:space="preserve">Is the service built using an established design system or pattern library (organisation or shared government) rather than one-off components?</t>
  </si>
  <si>
    <t xml:space="preserve">Design system name and version; component usage audit.</t>
  </si>
  <si>
    <t xml:space="preserve">Use and contribute to a shared design system so components are tested, accessible and consistent across the organisation's services.</t>
  </si>
  <si>
    <t xml:space="preserve">GOV.UK Service Standard point 13; AU DSS 2.0 criterion 6 (don't reinvent the wheel)</t>
  </si>
  <si>
    <t xml:space="preserve">No</t>
  </si>
  <si>
    <t xml:space="preserve">GOV.UK: reuse common components, patterns</t>
  </si>
  <si>
    <t xml:space="preserve">https://www.gov.uk/service-manual/service-standard/point-13-use-common-standards-components-patterns</t>
  </si>
  <si>
    <t xml:space="preserve">UXD-09</t>
  </si>
  <si>
    <t xml:space="preserve">Whole journey</t>
  </si>
  <si>
    <t xml:space="preserve">Has the end-to-end user journey been mapped, including offline steps, other agencies and hand-offs, and are pain points across channels addressed?</t>
  </si>
  <si>
    <t xml:space="preserve">Journey or service blueprint; list of cross-channel issues and actions.</t>
  </si>
  <si>
    <t xml:space="preserve">Map the full journey across channels and organisations and design the digital service to work smoothly with the steps before and after it.</t>
  </si>
  <si>
    <t xml:space="preserve">GOV.UK Service Standard points 2 and 3; AU DSS 2.0 criterion 4 (connect services)</t>
  </si>
  <si>
    <t xml:space="preserve">GOV.UK: solve a whole problem</t>
  </si>
  <si>
    <t xml:space="preserve">https://www.gov.uk/service-manual/service-standard/point-2-solve-a-whole-problem</t>
  </si>
  <si>
    <t xml:space="preserve">UXD-10</t>
  </si>
  <si>
    <t xml:space="preserve">Performance</t>
  </si>
  <si>
    <t xml:space="preserve">Do pages load and respond quickly on typical NZ mobile connections and devices, with front-end performance (for example Core Web Vitals) monitored?</t>
  </si>
  <si>
    <t xml:space="preserve">Lighthouse or real-user monitoring results for key pages.</t>
  </si>
  <si>
    <t xml:space="preserve">Set performance budgets, monitor real-user performance (for example Core Web Vitals) and optimise key pages for mobile devices and slower connections.</t>
  </si>
  <si>
    <t xml:space="preserve">Google Core Web Vitals; OMB M-23-22</t>
  </si>
  <si>
    <t xml:space="preserve">Google: Core Web Vitals</t>
  </si>
  <si>
    <t xml:space="preserve">https://web.dev/articles/vitals</t>
  </si>
  <si>
    <t xml:space="preserve">UXD-11</t>
  </si>
  <si>
    <t xml:space="preserve">Compatibility</t>
  </si>
  <si>
    <t xml:space="preserve">Is there a defined browser, device and assistive technology support policy, and is the service tested against it before release?</t>
  </si>
  <si>
    <t xml:space="preserve">Support policy; release test evidence.</t>
  </si>
  <si>
    <t xml:space="preserve">Define which browsers, devices and assistive technologies are supported based on user data, and test against that list before each release.</t>
  </si>
  <si>
    <t xml:space="preserve">GOV.UK Service Manual (designing for different browsers and devices)</t>
  </si>
  <si>
    <t xml:space="preserve">GOV.UK: browser and device testing</t>
  </si>
  <si>
    <t xml:space="preserve">https://www.gov.uk/service-manual/technology/designing-for-different-browsers-and-devices</t>
  </si>
  <si>
    <t xml:space="preserve">UXD-12</t>
  </si>
  <si>
    <t xml:space="preserve">Data minimisation</t>
  </si>
  <si>
    <t xml:space="preserve">Does the service only ask for information it needs, and reuse information the agency already holds where lawful (so users don't repeat themselves)?</t>
  </si>
  <si>
    <t xml:space="preserve">Field-by-field justification; data reuse arrangements.</t>
  </si>
  <si>
    <t xml:space="preserve">Remove questions that aren't needed, explain why information is asked for, and reuse information already held where the law allows.</t>
  </si>
  <si>
    <t xml:space="preserve">Privacy Act 2020 IPP 1; AU DSS 2.0 criterion 4</t>
  </si>
  <si>
    <t xml:space="preserve">Privacy Act 2020</t>
  </si>
  <si>
    <t xml:space="preserve">https://www.legislation.govt.nz/act/public/2020/31/en/latest/</t>
  </si>
  <si>
    <t xml:space="preserve">CON-01</t>
  </si>
  <si>
    <t xml:space="preserve">Content and tone of voice</t>
  </si>
  <si>
    <t xml:space="preserve">Plain language</t>
  </si>
  <si>
    <t xml:space="preserve">Is content written in plain language appropriate to the intended audience, and has it been checked (for example readability testing or user testing)?</t>
  </si>
  <si>
    <t xml:space="preserve">Content review results; readability scores; plain language checks.</t>
  </si>
  <si>
    <t xml:space="preserve">Write and review all public content in plain language, test it with users, and follow the agency's Plain Language Act processes.</t>
  </si>
  <si>
    <t xml:space="preserve">Plain Language Act 2022</t>
  </si>
  <si>
    <t xml:space="preserve">Applies to public service agencies and Crown agents. A Plain Language Act Repeal Bill was introduced in 2025 (first reading 1 Apr 2025) and had not been enacted at 24 Oct 2026. If the Act is repealed, change NZ status to Good practice and keep the criterion.</t>
  </si>
  <si>
    <t xml:space="preserve">https://www.legislation.govt.nz/act/public/2022/0054/latest/whole.html</t>
  </si>
  <si>
    <t xml:space="preserve">CON-02</t>
  </si>
  <si>
    <t xml:space="preserve">Tone of voice</t>
  </si>
  <si>
    <t xml:space="preserve">Does the organisation have tone of voice guidelines, and does the service's content follow them?</t>
  </si>
  <si>
    <t xml:space="preserve">Tone of voice guidelines; content review against them.</t>
  </si>
  <si>
    <t xml:space="preserve">Apply the organisation's tone of voice guidelines to all service content, including error messages, emails and letters, and review content against them.</t>
  </si>
  <si>
    <t xml:space="preserve">Organisation brand and tone of voice guidelines</t>
  </si>
  <si>
    <t xml:space="preserve">Organisation-specific</t>
  </si>
  <si>
    <t xml:space="preserve">Organisation supplies its own guideline reference.</t>
  </si>
  <si>
    <t xml:space="preserve">Use your organisation's tone of voice</t>
  </si>
  <si>
    <t xml:space="preserve">CON-03</t>
  </si>
  <si>
    <t xml:space="preserve">Style</t>
  </si>
  <si>
    <t xml:space="preserve">Is content consistent with a content style guide (NZ English, terminology, dates, numbers, capitalisation)?</t>
  </si>
  <si>
    <t xml:space="preserve">Style guide reference; content audit results.</t>
  </si>
  <si>
    <t xml:space="preserve">Adopt a content style guide (organisation or NZ Government) and apply it consistently, including a glossary of service terms.</t>
  </si>
  <si>
    <t xml:space="preserve">Organisation style guide; NZ Government content guidance (Digital.govt.nz)</t>
  </si>
  <si>
    <t xml:space="preserve">Use your organisation's style guide</t>
  </si>
  <si>
    <t xml:space="preserve">CON-04</t>
  </si>
  <si>
    <t xml:space="preserve">Accuracy</t>
  </si>
  <si>
    <t xml:space="preserve">Is service content authoritative and current, with no duplicate or conflicting information across the agency's channels?</t>
  </si>
  <si>
    <t xml:space="preserve">Content inventory; duplicate content review.</t>
  </si>
  <si>
    <t xml:space="preserve">Keep one authoritative source for each piece of service information, remove or redirect duplicates, and check consistency with call centre scripts and printed material.</t>
  </si>
  <si>
    <t xml:space="preserve">OMB M-23-22 (content pillar)</t>
  </si>
  <si>
    <t xml:space="preserve">US digital-first experience memo</t>
  </si>
  <si>
    <t xml:space="preserve">https://www.whitehouse.gov/wp-content/uploads/2023/09/M-23-22-Delivering-a-Digital-First-Public-Experience.pdf</t>
  </si>
  <si>
    <t xml:space="preserve">CON-05</t>
  </si>
  <si>
    <t xml:space="preserve">Links and labels</t>
  </si>
  <si>
    <t xml:space="preserve">Are buttons, links and labels clear and specific (no 'click here'), and has microcopy been tested with users?</t>
  </si>
  <si>
    <t xml:space="preserve">Audit findings for SC 2.4.4; microcopy test results.</t>
  </si>
  <si>
    <t xml:space="preserve">Write descriptive link text and button labels that make sense out of context, and test key microcopy with users.</t>
  </si>
  <si>
    <t xml:space="preserve">WCAG 2.2 SC 2.4.4, 2.4.6</t>
  </si>
  <si>
    <t xml:space="preserve">CON-06</t>
  </si>
  <si>
    <t xml:space="preserve">Te reo Māori</t>
  </si>
  <si>
    <t xml:space="preserve">Has the service considered te reo Māori - correct use and display of macrons, bilingual names and content where appropriate?</t>
  </si>
  <si>
    <t xml:space="preserve">Te reo Māori approach; macron rendering test; reviewed translations.</t>
  </si>
  <si>
    <t xml:space="preserve">Agree a te reo Māori approach for the service, ensure macrons display and are searchable, and have te reo content reviewed by a qualified speaker.</t>
  </si>
  <si>
    <t xml:space="preserve">Te Ture mō Te Reo Māori 2016 (Māori Language Act); Digital Service Design Standard</t>
  </si>
  <si>
    <t xml:space="preserve">Māori Language Act 2016</t>
  </si>
  <si>
    <t xml:space="preserve">https://www.legislation.govt.nz/act/public/2016/0017/latest/DLM6174566.html</t>
  </si>
  <si>
    <t xml:space="preserve">CON-07</t>
  </si>
  <si>
    <t xml:space="preserve">Alternative formats</t>
  </si>
  <si>
    <t xml:space="preserve">Is key service information available in alternative formats where needed (for example Easy Read, NZ Sign Language, large print, audio, Braille)?</t>
  </si>
  <si>
    <t xml:space="preserve">List of alternative formats; process for requesting them.</t>
  </si>
  <si>
    <t xml:space="preserve">Provide key information in alternative formats and offer a simple way to request others.</t>
  </si>
  <si>
    <t xml:space="preserve">Accessibility Charter (MSD); draft Digital Accessibility Standard</t>
  </si>
  <si>
    <t xml:space="preserve">DAS draft (Jul 2026)</t>
  </si>
  <si>
    <t xml:space="preserve">MSD Accessibility Charter</t>
  </si>
  <si>
    <t xml:space="preserve">https://www.msd.govt.nz/about-msd-and-our-work/work-programmes/accessibility/accessibility-charter/the-charter.html</t>
  </si>
  <si>
    <t xml:space="preserve">CON-08</t>
  </si>
  <si>
    <t xml:space="preserve">Languages</t>
  </si>
  <si>
    <t xml:space="preserve">Have the language needs of the service's users been identified, with translated content provided where needed?</t>
  </si>
  <si>
    <t xml:space="preserve">User language data; translated content inventory.</t>
  </si>
  <si>
    <t xml:space="preserve">Use research and demographic data to identify language needs and translate key content, using professional translators.</t>
  </si>
  <si>
    <t xml:space="preserve">Digital Service Design Standard</t>
  </si>
  <si>
    <t xml:space="preserve">NZ Digital Service Design principles</t>
  </si>
  <si>
    <t xml:space="preserve">https://www.digital.govt.nz/standards-and-guidance/digital-service-design-standard/principles</t>
  </si>
  <si>
    <t xml:space="preserve">BRD-01</t>
  </si>
  <si>
    <t xml:space="preserve">Brand and visual consistency</t>
  </si>
  <si>
    <t xml:space="preserve">Brand guidelines</t>
  </si>
  <si>
    <t xml:space="preserve">Does the service apply the organisation's brand guidelines - logos, font types, colour palette, iconography and styling?</t>
  </si>
  <si>
    <t xml:space="preserve">Brand guideline reference; design review against guidelines.</t>
  </si>
  <si>
    <t xml:space="preserve">Apply the organisation's brand guidelines, including font types, colour palette and styling, to minimise experience inconsistency across applications.</t>
  </si>
  <si>
    <t xml:space="preserve">Organisation brand guidelines; OMB M-23-22 (branding pillar)</t>
  </si>
  <si>
    <t xml:space="preserve">Use your organisation's brand guidelines</t>
  </si>
  <si>
    <t xml:space="preserve">BRD-02</t>
  </si>
  <si>
    <t xml:space="preserve">Government identity</t>
  </si>
  <si>
    <t xml:space="preserve">Does the website's home page clearly identify it as a NZ Government site and link to Govt.nz using the recommended NZ Government logo markup?</t>
  </si>
  <si>
    <t xml:space="preserve">Screenshot of home page; markup check.</t>
  </si>
  <si>
    <t xml:space="preserve">Add the NZ Government identity link to Govt.nz on the home page using the recommended accessible logo markup.</t>
  </si>
  <si>
    <t xml:space="preserve">Web Usability Standard 1.4 s2.2 (Government identity); NZ government logo markup guidance</t>
  </si>
  <si>
    <t xml:space="preserve">WUS 1.4 (from 17 Mar 2025)</t>
  </si>
  <si>
    <t xml:space="preserve">Web Usability Standard requirements are expected to become guidance within the updated Digital Service Design Standard.</t>
  </si>
  <si>
    <t xml:space="preserve">NZ government logo markup guidance</t>
  </si>
  <si>
    <t xml:space="preserve">https://www.digital.govt.nz/standards-and-guidance/design-and-ux/usability/nz-government-logo-markup</t>
  </si>
  <si>
    <t xml:space="preserve">BRD-03</t>
  </si>
  <si>
    <t xml:space="preserve">Accessible brand</t>
  </si>
  <si>
    <t xml:space="preserve">Has the brand colour palette and typography been checked for accessibility (contrast, legibility at small sizes)?</t>
  </si>
  <si>
    <t xml:space="preserve">Contrast matrix for brand colours; typography test.</t>
  </si>
  <si>
    <t xml:space="preserve">Test the brand palette and type scale against WCAG and publish approved accessible colour combinations in the design system.</t>
  </si>
  <si>
    <t xml:space="preserve">BRD-04</t>
  </si>
  <si>
    <t xml:space="preserve">Consistency</t>
  </si>
  <si>
    <t xml:space="preserve">Is the look, feel and interaction behaviour consistent with the organisation's other digital services (shared components, design tokens, patterns)?</t>
  </si>
  <si>
    <t xml:space="preserve">Comparison with other agency services; shared design token usage.</t>
  </si>
  <si>
    <t xml:space="preserve">Use shared design tokens and components across the organisation's applications so users get a consistent experience.</t>
  </si>
  <si>
    <t xml:space="preserve">Nielsen heuristic 4 (consistency and standards); OMB M-23-22</t>
  </si>
  <si>
    <t xml:space="preserve">BRD-05</t>
  </si>
  <si>
    <t xml:space="preserve">Trust</t>
  </si>
  <si>
    <t xml:space="preserve">Is the service hosted on a .govt.nz domain (or another approved domain) that clearly identifies the agency, so users can trust it is genuine?</t>
  </si>
  <si>
    <t xml:space="preserve">Domain name and approval.</t>
  </si>
  <si>
    <t xml:space="preserve">Host the service on a .govt.nz or other approved government domain and avoid third-party domains that could be mistaken for scams.</t>
  </si>
  <si>
    <t xml:space="preserve">Government domain names guidance (digital.govt.nz)</t>
  </si>
  <si>
    <t xml:space="preserve">NZ government domain names guidance</t>
  </si>
  <si>
    <t xml:space="preserve">https://www.digital.govt.nz/standards-and-guidance/technology-and-architecture/domain-names</t>
  </si>
  <si>
    <t xml:space="preserve">BRD-06</t>
  </si>
  <si>
    <t xml:space="preserve">Machinery of government</t>
  </si>
  <si>
    <t xml:space="preserve">Where the organisation has been renamed, merged or restructured, have legacy names, logos and URLs been updated or redirected?</t>
  </si>
  <si>
    <t xml:space="preserve">Inventory of legacy brand references; redirect map.</t>
  </si>
  <si>
    <t xml:space="preserve">Update legacy names, logos and contact details, and redirect old URLs so users are not confused after machinery-of-government changes.</t>
  </si>
  <si>
    <t xml:space="preserve">SEC-01</t>
  </si>
  <si>
    <t xml:space="preserve">Security and privacy</t>
  </si>
  <si>
    <t xml:space="preserve">Assurance</t>
  </si>
  <si>
    <t xml:space="preserve">Has the service completed a security risk assessment and certification and accreditation (C&amp;A) in line with the NZISM, and is it reviewed after significant change?</t>
  </si>
  <si>
    <t xml:space="preserve">C&amp;A documentation; risk register; accreditation decision.</t>
  </si>
  <si>
    <t xml:space="preserve">Complete a security risk assessment and certification and accreditation before go-live, and refresh it after significant change or on a set cycle.</t>
  </si>
  <si>
    <t xml:space="preserve">NZ Information Security Manual (NZISM); Protective Security Requirements</t>
  </si>
  <si>
    <t xml:space="preserve">NZISM (v3.9 released; check latest updates); PSR</t>
  </si>
  <si>
    <t xml:space="preserve">Check current NZISM version and your organisation's PSR obligations.</t>
  </si>
  <si>
    <t xml:space="preserve">NZ Information Security Manual</t>
  </si>
  <si>
    <t xml:space="preserve">https://www.ncsc.govt.nz/nzism/</t>
  </si>
  <si>
    <t xml:space="preserve">SEC-02</t>
  </si>
  <si>
    <t xml:space="preserve">Application security</t>
  </si>
  <si>
    <t xml:space="preserve">Has the application been verified against the OWASP Application Security Verification Standard at a level appropriate to its risk (Level 1 minimum, Level 2 if it handles personal information)?</t>
  </si>
  <si>
    <t xml:space="preserve">ASVS checklist results with level stated.</t>
  </si>
  <si>
    <t xml:space="preserve">Verify the application against OWASP ASVS 5.0 at the appropriate level and track gaps to remediation.</t>
  </si>
  <si>
    <t xml:space="preserve">OWASP ASVS 5.0.0 (chapters V1-V17, at the level chosen)</t>
  </si>
  <si>
    <t xml:space="preserve">ASVS 5.0.0 (May 2025)</t>
  </si>
  <si>
    <t xml:space="preserve">OWASP ASVS is referenced by chapter ID only. No ASVS requirement text is reproduced (ASVS is CC BY-SA 4.0). In the app, cite requirement IDs in the form v5.0.0-&lt;chapter&gt;.&lt;section&gt;.&lt;requirement&gt;.</t>
  </si>
  <si>
    <t xml:space="preserve">OWASP ASVS project page</t>
  </si>
  <si>
    <t xml:space="preserve">https://owasp.org/projects/asvs</t>
  </si>
  <si>
    <t xml:space="preserve">SEC-03</t>
  </si>
  <si>
    <t xml:space="preserve">Testing</t>
  </si>
  <si>
    <t xml:space="preserve">Has an independent penetration test been completed in the last 12 months or since the last major change, with findings remediated?</t>
  </si>
  <si>
    <t xml:space="preserve">Pen test report; remediation tracker.</t>
  </si>
  <si>
    <t xml:space="preserve">Commission independent penetration testing annually and after major change, and remediate critical and high findings before release.</t>
  </si>
  <si>
    <t xml:space="preserve">NZISM</t>
  </si>
  <si>
    <t xml:space="preserve">SEC-04</t>
  </si>
  <si>
    <t xml:space="preserve">Transport security</t>
  </si>
  <si>
    <t xml:space="preserve">Is the service served only over HTTPS with modern TLS, HSTS and appropriate security headers (for example Content Security Policy)?</t>
  </si>
  <si>
    <t xml:space="preserve">MDN HTTP Observatory and SSL Labs results.</t>
  </si>
  <si>
    <t xml:space="preserve">Enforce HTTPS with modern TLS, enable HSTS and configure security headers, checking regularly with free scanners such as MDN HTTP Observatory and SSL Labs.</t>
  </si>
  <si>
    <t xml:space="preserve">NZISM; OWASP ASVS 5.0.0 V12 (Secure Communication) and V3 (Web Frontend Security)</t>
  </si>
  <si>
    <t xml:space="preserve">ASVS 5.0.0</t>
  </si>
  <si>
    <t xml:space="preserve">MDN HTTP Observatory scanner</t>
  </si>
  <si>
    <t xml:space="preserve">https://developer.mozilla.org/en-US/observatory</t>
  </si>
  <si>
    <t xml:space="preserve">SEC-05</t>
  </si>
  <si>
    <t xml:space="preserve">Identity</t>
  </si>
  <si>
    <t xml:space="preserve">Is user authentication proportionate to risk (for example multi-factor authentication, RealMe or another trusted identity service) and is MFA required for administrators?</t>
  </si>
  <si>
    <t xml:space="preserve">Authentication design; identity assurance assessment.</t>
  </si>
  <si>
    <t xml:space="preserve">Match authentication strength to the risk of the transaction, use trusted identity services where appropriate, and require MFA for all administrative access.</t>
  </si>
  <si>
    <t xml:space="preserve">NZ Government Identification Standards; RealMe; NZISM; OWASP ASVS 5.0.0 V6 (Authentication) and V7 (Session Management)</t>
  </si>
  <si>
    <t xml:space="preserve">NZ Identification Standards</t>
  </si>
  <si>
    <t xml:space="preserve">https://www.digital.govt.nz/standards-and-guidance/identity/identification-management/identification-standards</t>
  </si>
  <si>
    <t xml:space="preserve">SEC-06</t>
  </si>
  <si>
    <t xml:space="preserve">Privacy</t>
  </si>
  <si>
    <t xml:space="preserve">Has a privacy impact assessment (PIA) been completed and kept up to date for the service?</t>
  </si>
  <si>
    <t xml:space="preserve">PIA document and approval.</t>
  </si>
  <si>
    <t xml:space="preserve">Complete a privacy impact assessment and update it whenever the collection, use or sharing of personal information changes.</t>
  </si>
  <si>
    <t xml:space="preserve">Privacy Act 2020; Office of the Privacy Commissioner PIA guidance</t>
  </si>
  <si>
    <t xml:space="preserve">OPC privacy impact assessment guidance</t>
  </si>
  <si>
    <t xml:space="preserve">https://www.privacy.org.nz/responsibilities/privacy-impact-assessments/</t>
  </si>
  <si>
    <t xml:space="preserve">SEC-07</t>
  </si>
  <si>
    <t xml:space="preserve">Is a privacy statement available from every page, explaining what personal information is collected, why, who it's shared with, and how to access and correct it?</t>
  </si>
  <si>
    <t xml:space="preserve">Privacy statement URL; check it is linked from all pages.</t>
  </si>
  <si>
    <t xml:space="preserve">Publish a clear privacy statement linked from every page that meets Privacy Act 2020 information privacy principle 3 and the Web Usability Standard.</t>
  </si>
  <si>
    <t xml:space="preserve">Privacy Act 2020 IPP 3; Web Usability Standard 1.4 s2.5 (Privacy)</t>
  </si>
  <si>
    <t xml:space="preserve">Privacy Act 2020; WUS 1.4</t>
  </si>
  <si>
    <t xml:space="preserve">Weight raised to 3 in v1.10: the privacy statement is a legal obligation and a critical criterion.</t>
  </si>
  <si>
    <t xml:space="preserve">NZ Web Usability Standard 1.4</t>
  </si>
  <si>
    <t xml:space="preserve">https://www.digital.govt.nz/standards-and-guidance/nz-government-web-standards/web-usability-standard-1-4</t>
  </si>
  <si>
    <t xml:space="preserve">SEC-08</t>
  </si>
  <si>
    <t xml:space="preserve">Is there a tested process for responding to privacy breaches, including notifying the Privacy Commissioner and affected people where required?</t>
  </si>
  <si>
    <t xml:space="preserve">Breach response procedure; exercise records.</t>
  </si>
  <si>
    <t xml:space="preserve">Document and exercise a privacy breach response process that meets the notifiable privacy breach requirements of the Privacy Act 2020.</t>
  </si>
  <si>
    <t xml:space="preserve">Privacy Act 2020 Part 6</t>
  </si>
  <si>
    <t xml:space="preserve">SEC-09</t>
  </si>
  <si>
    <t xml:space="preserve">Vulnerabilities</t>
  </si>
  <si>
    <t xml:space="preserve">Are vulnerabilities and dependencies scanned regularly and patched within defined timeframes?</t>
  </si>
  <si>
    <t xml:space="preserve">Scan reports; patching SLAs and performance.</t>
  </si>
  <si>
    <t xml:space="preserve">Scan code, dependencies and infrastructure continuously and patch within agreed timeframes based on severity.</t>
  </si>
  <si>
    <t xml:space="preserve">NZISM; OWASP ASVS 5.0.0 V15 (Secure Coding and Architecture)</t>
  </si>
  <si>
    <t xml:space="preserve">SEC-10</t>
  </si>
  <si>
    <t xml:space="preserve">Security monitoring</t>
  </si>
  <si>
    <t xml:space="preserve">Are security events logged and monitored, with alerts for suspicious activity, without logging sensitive personal information?</t>
  </si>
  <si>
    <t xml:space="preserve">Logging standard; security monitoring and alerting configuration.</t>
  </si>
  <si>
    <t xml:space="preserve">Log security-relevant events centrally, alert on suspicious activity, and make sure logs don't contain passwords, tokens or unnecessary personal information.</t>
  </si>
  <si>
    <t xml:space="preserve">OWASP ASVS 5.0.0 V16 (Security Logging and Error Handling); NZISM</t>
  </si>
  <si>
    <t xml:space="preserve">SEC-11</t>
  </si>
  <si>
    <t xml:space="preserve">Hosting</t>
  </si>
  <si>
    <t xml:space="preserve">Has a risk assessment been completed for the hosting and any cloud services used, including data location and jurisdiction?</t>
  </si>
  <si>
    <t xml:space="preserve">Cloud risk assessment; data residency decision.</t>
  </si>
  <si>
    <t xml:space="preserve">Complete a cloud and hosting risk assessment covering data location, jurisdiction and supplier security, and record the decision.</t>
  </si>
  <si>
    <t xml:space="preserve">GCDO public cloud risk assessment guidance (digital.govt.nz); NZISM</t>
  </si>
  <si>
    <t xml:space="preserve">GCDO cloud risk assessment guidance</t>
  </si>
  <si>
    <t xml:space="preserve">https://www.digital.govt.nz/standards-and-guidance/technology-and-architecture/cloud-services/assess-the-risks</t>
  </si>
  <si>
    <t xml:space="preserve">OPS-01</t>
  </si>
  <si>
    <t xml:space="preserve">Reliability, observability and service levels</t>
  </si>
  <si>
    <t xml:space="preserve">Service levels</t>
  </si>
  <si>
    <t xml:space="preserve">Are availability and performance targets (service levels or SLOs) defined for the service and agreed with the business owner?</t>
  </si>
  <si>
    <t xml:space="preserve">Documented SLA/SLO with targets and measurement method.</t>
  </si>
  <si>
    <t xml:space="preserve">Define and agree availability, response time and support targets that reflect how critical the service is to users, and measure against them.</t>
  </si>
  <si>
    <t xml:space="preserve">AU Digital Performance Standard criterion 2; GOV.UK Service Standard point 14</t>
  </si>
  <si>
    <t xml:space="preserve">AU DPS 1.0 (2024)</t>
  </si>
  <si>
    <t xml:space="preserve">AU guide: measuring service availability</t>
  </si>
  <si>
    <t xml:space="preserve">https://www.digital.gov.au/policy/digital-experience/digital-performance-standard/dps-criterion-2-measure-availability-your-digital-service</t>
  </si>
  <si>
    <t xml:space="preserve">OPS-02</t>
  </si>
  <si>
    <t xml:space="preserve">Monitoring</t>
  </si>
  <si>
    <t xml:space="preserve">Is there proactive monitoring and alerting (for example synthetic checks of key user journeys) so the team learns of problems before users report them?</t>
  </si>
  <si>
    <t xml:space="preserve">Monitoring dashboard; alert rules and on-call routing.</t>
  </si>
  <si>
    <t xml:space="preserve">Deploy proactive monitoring and alerting to minimise issue triage and resolution time following service degradation or outage.</t>
  </si>
  <si>
    <t xml:space="preserve">AU Digital Performance Standard criteria 1 and 2</t>
  </si>
  <si>
    <t xml:space="preserve">AU DPS 1.0</t>
  </si>
  <si>
    <t xml:space="preserve">AU guide: service monitoring framework</t>
  </si>
  <si>
    <t xml:space="preserve">https://www.digital.gov.au/policy/digital-experience/digital-performance-standard/dps-criterion-1-implement-monitoring-framework</t>
  </si>
  <si>
    <t xml:space="preserve">OPS-03</t>
  </si>
  <si>
    <t xml:space="preserve">Observability</t>
  </si>
  <si>
    <t xml:space="preserve">Are logs, metrics and traces centralised and correlated so the team can quickly diagnose the cause of an issue?</t>
  </si>
  <si>
    <t xml:space="preserve">Observability tooling; example incident diagnosis time.</t>
  </si>
  <si>
    <t xml:space="preserve">Centralise logs, metrics and traces with correlation IDs so issues can be traced across components and suppliers.</t>
  </si>
  <si>
    <t xml:space="preserve">Site reliability engineering practice; OWASP ASVS 5.0.0 V16 (Security Logging and Error Handling)</t>
  </si>
  <si>
    <t xml:space="preserve">Google site reliability engineering books</t>
  </si>
  <si>
    <t xml:space="preserve">https://sre.google/books/</t>
  </si>
  <si>
    <t xml:space="preserve">OPS-04</t>
  </si>
  <si>
    <t xml:space="preserve">Incident management</t>
  </si>
  <si>
    <t xml:space="preserve">Is there an incident management process with severity levels, response and resolution targets, escalation paths and named owners?</t>
  </si>
  <si>
    <t xml:space="preserve">Incident process; recent incident records against targets.</t>
  </si>
  <si>
    <t xml:space="preserve">Establish an incident management process with severity definitions, response and resolution targets, and clear escalation, and report performance against it.</t>
  </si>
  <si>
    <t xml:space="preserve">ITIL incident management; GOV.UK Service Standard point 14</t>
  </si>
  <si>
    <t xml:space="preserve">GOV.UK: operate a reliable service</t>
  </si>
  <si>
    <t xml:space="preserve">https://www.gov.uk/service-manual/service-standard/point-14-operate-a-reliable-service</t>
  </si>
  <si>
    <t xml:space="preserve">OPS-05</t>
  </si>
  <si>
    <t xml:space="preserve">Outage communication</t>
  </si>
  <si>
    <t xml:space="preserve">Are users told about outages and planned maintenance (for example a status page, service banner or alternative channel)?</t>
  </si>
  <si>
    <t xml:space="preserve">Status page or banner; maintenance notification records.</t>
  </si>
  <si>
    <t xml:space="preserve">Tell users promptly about outages and planned maintenance, with expected recovery times and alternative ways to complete their task.</t>
  </si>
  <si>
    <t xml:space="preserve">GOV.UK Service Standard point 14</t>
  </si>
  <si>
    <t xml:space="preserve">OPS-06</t>
  </si>
  <si>
    <t xml:space="preserve">Supplier contracts</t>
  </si>
  <si>
    <t xml:space="preserve">Do hosting, vendor and support contracts include service levels for availability, response, resolution and reporting that match the agreed service targets?</t>
  </si>
  <si>
    <t xml:space="preserve">Contract schedules; supplier performance reports.</t>
  </si>
  <si>
    <t xml:space="preserve">Align supplier service levels and reporting with the service's agreed targets, with remedies for under-performance.</t>
  </si>
  <si>
    <t xml:space="preserve">Government Procurement Rules (context); good practice</t>
  </si>
  <si>
    <t xml:space="preserve">NZ Government procurement framework</t>
  </si>
  <si>
    <t xml:space="preserve">https://www.procurement.govt.nz/government-procurement-framework/</t>
  </si>
  <si>
    <t xml:space="preserve">OPS-07</t>
  </si>
  <si>
    <t xml:space="preserve">Learning</t>
  </si>
  <si>
    <t xml:space="preserve">Are post-incident reviews held for significant incidents, with actions tracked to completion?</t>
  </si>
  <si>
    <t xml:space="preserve">Post-incident review records and action tracker.</t>
  </si>
  <si>
    <t xml:space="preserve">Run blameless post-incident reviews for significant incidents and track improvement actions to completion.</t>
  </si>
  <si>
    <t xml:space="preserve">Site reliability engineering practice</t>
  </si>
  <si>
    <t xml:space="preserve">OPS-08</t>
  </si>
  <si>
    <t xml:space="preserve">Continuity</t>
  </si>
  <si>
    <t xml:space="preserve">Are recovery time and recovery point objectives defined, and have backup restore and disaster recovery been tested in the last 12 months?</t>
  </si>
  <si>
    <t xml:space="preserve">BCP/DR plan; test results.</t>
  </si>
  <si>
    <t xml:space="preserve">Define RTO and RPO based on user impact and test restore and disaster recovery at least annually.</t>
  </si>
  <si>
    <t xml:space="preserve">NZISM; business continuity good practice</t>
  </si>
  <si>
    <t xml:space="preserve">OPS-09</t>
  </si>
  <si>
    <t xml:space="preserve">Capacity</t>
  </si>
  <si>
    <t xml:space="preserve">Has the service been load tested for expected peak demand (for example deadlines, announcements, seasonal peaks)?</t>
  </si>
  <si>
    <t xml:space="preserve">Load test results; capacity plan.</t>
  </si>
  <si>
    <t xml:space="preserve">Load test for expected peaks and plan capacity ahead of known high-demand events.</t>
  </si>
  <si>
    <t xml:space="preserve">OPS-10</t>
  </si>
  <si>
    <t xml:space="preserve">Change</t>
  </si>
  <si>
    <t xml:space="preserve">Can changes be released safely and frequently, with automated testing, rollback, and change windows communicated to support teams?</t>
  </si>
  <si>
    <t xml:space="preserve">Release process; deployment frequency; rollback evidence.</t>
  </si>
  <si>
    <t xml:space="preserve">Automate testing and deployment, make releases small and reversible, and tell support teams about changes before they go live.</t>
  </si>
  <si>
    <t xml:space="preserve">GOV.UK Service Standard point 8; DORA software delivery metrics</t>
  </si>
  <si>
    <t xml:space="preserve">DORA five-metric model</t>
  </si>
  <si>
    <t xml:space="preserve">DORA software delivery metrics</t>
  </si>
  <si>
    <t xml:space="preserve">https://dora.dev/guides/dora-metrics/</t>
  </si>
  <si>
    <t xml:space="preserve">OPS-11</t>
  </si>
  <si>
    <t xml:space="preserve">Is service availability and performance reported regularly to the service owner and governance?</t>
  </si>
  <si>
    <t xml:space="preserve">Performance reports to governance.</t>
  </si>
  <si>
    <t xml:space="preserve">Report availability, performance and incident trends to the service owner and governance on a regular cycle.</t>
  </si>
  <si>
    <t xml:space="preserve">AU Digital Performance Standard criterion 5; GOV.UK Service Standard point 10</t>
  </si>
  <si>
    <t xml:space="preserve">AU Digital Performance Standard</t>
  </si>
  <si>
    <t xml:space="preserve">https://www.digital.gov.au/policy/digital-experience/digital-performance-standard</t>
  </si>
  <si>
    <t xml:space="preserve">SUP-01</t>
  </si>
  <si>
    <t xml:space="preserve">Support and contact channels</t>
  </si>
  <si>
    <t xml:space="preserve">Contact information</t>
  </si>
  <si>
    <t xml:space="preserve">Is a contact page linked from the home page that includes non-digital channels (such as phone and postal address) and information for NZ Relay users?</t>
  </si>
  <si>
    <t xml:space="preserve">Contact page URL and content.</t>
  </si>
  <si>
    <t xml:space="preserve">Provide a contact page linked from the home page with digital and non-digital contact options, including NZ Relay information.</t>
  </si>
  <si>
    <t xml:space="preserve">Web Usability Standard 1.4 s2.3 (Contact information; NZ Relay link at s2.3.3)</t>
  </si>
  <si>
    <t xml:space="preserve">WUS 1.4</t>
  </si>
  <si>
    <t xml:space="preserve">WUS 1.4 added requirements supporting non-digital access channels.</t>
  </si>
  <si>
    <t xml:space="preserve">SUP-02</t>
  </si>
  <si>
    <t xml:space="preserve">In-service help</t>
  </si>
  <si>
    <t xml:space="preserve">Is help available at the point of need within the service (help text, FAQs, guidance), in a consistent location on each page?</t>
  </si>
  <si>
    <t xml:space="preserve">Help content; audit findings for WCAG SC 3.2.6.</t>
  </si>
  <si>
    <t xml:space="preserve">Provide contextual help where users need it and keep help mechanisms in the same place on every page.</t>
  </si>
  <si>
    <t xml:space="preserve">WCAG 2.2 SC 3.2.6 (consistent help); Nielsen heuristic 10</t>
  </si>
  <si>
    <t xml:space="preserve">NN/g: help and documentation</t>
  </si>
  <si>
    <t xml:space="preserve">https://www.nngroup.com/articles/help-and-documentation/</t>
  </si>
  <si>
    <t xml:space="preserve">SUP-03</t>
  </si>
  <si>
    <t xml:space="preserve">Accessibility support</t>
  </si>
  <si>
    <t xml:space="preserve">Can people ask for accessibility help in more than one way, and does the agency reply to accessibility questions within 3 days?</t>
  </si>
  <si>
    <t xml:space="preserve">Accessibility contact options; response time records.</t>
  </si>
  <si>
    <t xml:space="preserve">Offer several ways to ask for accessibility help and respond within 3 days, saying when a full answer will be provided.</t>
  </si>
  <si>
    <t xml:space="preserve">Draft Digital Accessibility Standard (consultation draft)</t>
  </si>
  <si>
    <t xml:space="preserve">Draft requirement - confirm when DAS is finalised (expected early 2027).</t>
  </si>
  <si>
    <t xml:space="preserve">SUP-04</t>
  </si>
  <si>
    <t xml:space="preserve">Support model</t>
  </si>
  <si>
    <t xml:space="preserve">Is there a defined support model - support tiers, hours, response targets and escalation - and are front-line staff trained on the service?</t>
  </si>
  <si>
    <t xml:space="preserve">Support model document; training records; knowledge base.</t>
  </si>
  <si>
    <t xml:space="preserve">Define support tiers, hours and response targets, train front-line staff on the service and keep a shared knowledge base up to date.</t>
  </si>
  <si>
    <t xml:space="preserve">Good practice (ITIL service desk)</t>
  </si>
  <si>
    <t xml:space="preserve">Use your organisation's internal guidance</t>
  </si>
  <si>
    <t xml:space="preserve">SUP-05</t>
  </si>
  <si>
    <t xml:space="preserve">Can users give feedback on each page and at the end of a transaction, and is it reviewed and acted on?</t>
  </si>
  <si>
    <t xml:space="preserve">Feedback mechanism; feedback log and actions.</t>
  </si>
  <si>
    <t xml:space="preserve">Add feedback options on each page and at the end of transactions, review feedback regularly and close the loop on changes made.</t>
  </si>
  <si>
    <t xml:space="preserve">AU Digital Performance Standard criterion 4</t>
  </si>
  <si>
    <t xml:space="preserve">SUP-06</t>
  </si>
  <si>
    <t xml:space="preserve">Assisted channels</t>
  </si>
  <si>
    <t xml:space="preserve">Can people who cannot use the digital service complete the same task through an assisted or offline channel with an equivalent outcome?</t>
  </si>
  <si>
    <t xml:space="preserve">Assisted digital / offline process description.</t>
  </si>
  <si>
    <t xml:space="preserve">Provide an assisted or offline route that achieves the same outcome, and make sure it is promoted and resourced.</t>
  </si>
  <si>
    <t xml:space="preserve">Digital Service Design Standard; GOV.UK Service Standard point 3; AU DSS 2.0 criterion 3</t>
  </si>
  <si>
    <t xml:space="preserve">GOV.UK: join up across channels</t>
  </si>
  <si>
    <t xml:space="preserve">https://www.gov.uk/service-manual/service-standard/point-3-join-up-across-channels</t>
  </si>
  <si>
    <t xml:space="preserve">SUP-07</t>
  </si>
  <si>
    <t xml:space="preserve">Complaints</t>
  </si>
  <si>
    <t xml:space="preserve">Is there a published complaints process with timeframes and information about escalation (for example to the Ombudsman or Privacy Commissioner)?</t>
  </si>
  <si>
    <t xml:space="preserve">Complaints process URL.</t>
  </si>
  <si>
    <t xml:space="preserve">Publish a complaints process with timeframes and information on how to escalate to the Ombudsman or Privacy Commissioner.</t>
  </si>
  <si>
    <t xml:space="preserve">Ombudsman guidance: Effective complaint handling</t>
  </si>
  <si>
    <t xml:space="preserve">Ombudsman: effective complaint handling</t>
  </si>
  <si>
    <t xml:space="preserve">https://www.ombudsman.parliament.nz/resources/effective-complaint-handling</t>
  </si>
  <si>
    <t xml:space="preserve">LEG-01</t>
  </si>
  <si>
    <t xml:space="preserve">Legal and regulatory</t>
  </si>
  <si>
    <t xml:space="preserve">Copyright</t>
  </si>
  <si>
    <t xml:space="preserve">Is a copyright and licensing statement linked from the home page, applying NZGOAL open licensing where appropriate?</t>
  </si>
  <si>
    <t xml:space="preserve">Copyright statement URL.</t>
  </si>
  <si>
    <t xml:space="preserve">Publish a copyright statement linked from the home page and apply NZGOAL licensing to reusable content where appropriate.</t>
  </si>
  <si>
    <t xml:space="preserve">Web Usability Standard 1.4 s2.4 (Copyright); NZGOAL</t>
  </si>
  <si>
    <t xml:space="preserve">NZGOAL open licensing framework</t>
  </si>
  <si>
    <t xml:space="preserve">https://www.data.govt.nz/manage-data/policies/nzgoal</t>
  </si>
  <si>
    <t xml:space="preserve">LEG-02</t>
  </si>
  <si>
    <t xml:space="preserve">Records</t>
  </si>
  <si>
    <t xml:space="preserve">Are records created by the service captured, kept and disposed of in line with the Public Records Act and the agency's disposal authority?</t>
  </si>
  <si>
    <t xml:space="preserve">Records management assessment; disposal authority reference.</t>
  </si>
  <si>
    <t xml:space="preserve">Assess the service against Archives NZ requirements, ensure records are captured and retained correctly, and apply the relevant disposal authority.</t>
  </si>
  <si>
    <t xml:space="preserve">Public Records Act 2005; Archives NZ Information and Records Management Standard (16/S1)</t>
  </si>
  <si>
    <t xml:space="preserve">Archives NZ records management standard</t>
  </si>
  <si>
    <t xml:space="preserve">https://archives.govt.nz/manage-information/how-to-manage-your-information/key-obligations-and-the-standard/information-and-records-management-standard</t>
  </si>
  <si>
    <t xml:space="preserve">LEG-03</t>
  </si>
  <si>
    <t xml:space="preserve">Information access</t>
  </si>
  <si>
    <t xml:space="preserve">Can information held by the service be found and retrieved to respond to Official Information Act and Privacy Act access requests within statutory timeframes?</t>
  </si>
  <si>
    <t xml:space="preserve">Retrieval process; test retrieval.</t>
  </si>
  <si>
    <t xml:space="preserve">Make sure information can be searched and extracted to answer OIA and Privacy Act requests within statutory timeframes.</t>
  </si>
  <si>
    <t xml:space="preserve">Official Information Act 1982; Privacy Act 2020 IPP 6</t>
  </si>
  <si>
    <t xml:space="preserve">Official Information Act 1982</t>
  </si>
  <si>
    <t xml:space="preserve">https://www.legislation.govt.nz/act/public/1982/156/en/latest/</t>
  </si>
  <si>
    <t xml:space="preserve">LEG-04</t>
  </si>
  <si>
    <t xml:space="preserve">Equal access</t>
  </si>
  <si>
    <t xml:space="preserve">Has the service been checked to ensure it does not discriminate, and that disabled people and other groups have equivalent access to the service and information?</t>
  </si>
  <si>
    <t xml:space="preserve">Equity or inclusion assessment; accessibility evidence.</t>
  </si>
  <si>
    <t xml:space="preserve">Assess the service for discriminatory effects and barriers to access, and provide equivalent access routes where barriers can't be removed.</t>
  </si>
  <si>
    <t xml:space="preserve">Human Rights Act 1993; NZ Bill of Rights Act 1990; UNCRPD</t>
  </si>
  <si>
    <t xml:space="preserve">Human Rights Act 1993</t>
  </si>
  <si>
    <t xml:space="preserve">https://www.legislation.govt.nz/act/public/1993/82/en/latest/</t>
  </si>
  <si>
    <t xml:space="preserve">LEG-05</t>
  </si>
  <si>
    <t xml:space="preserve">Legal basis</t>
  </si>
  <si>
    <t xml:space="preserve">Does the service accurately reflect its legal basis - eligibility rules, statutory timeframes, fees and rights of review or appeal?</t>
  </si>
  <si>
    <t xml:space="preserve">Legal review sign-off of rules and content.</t>
  </si>
  <si>
    <t xml:space="preserve">Have the service's rules and content reviewed against the empowering legislation, and tell users about their rights of review or appeal.</t>
  </si>
  <si>
    <t xml:space="preserve">Empowering legislation for the service</t>
  </si>
  <si>
    <t xml:space="preserve">Service-specific</t>
  </si>
  <si>
    <t xml:space="preserve">Refer to your service's own legislation</t>
  </si>
  <si>
    <t xml:space="preserve">LEG-06</t>
  </si>
  <si>
    <t xml:space="preserve">Terms of use</t>
  </si>
  <si>
    <t xml:space="preserve">Are terms of use published for transactional or authenticated services, in plain language?</t>
  </si>
  <si>
    <t xml:space="preserve">Terms of use URL.</t>
  </si>
  <si>
    <t xml:space="preserve">Publish plain language terms of use covering acceptable use, liability and how accounts and data are managed.</t>
  </si>
  <si>
    <t xml:space="preserve">LEG-07</t>
  </si>
  <si>
    <t xml:space="preserve">Algorithms and AI</t>
  </si>
  <si>
    <t xml:space="preserve">If the service uses algorithms or AI that affect people, has this been assessed against NZ Government AI and algorithm guidance, with transparency for users?</t>
  </si>
  <si>
    <t xml:space="preserve">Algorithm/AI assessment; public explanation.</t>
  </si>
  <si>
    <t xml:space="preserve">Assess algorithmic and AI use against NZ Government guidance and the Algorithm Charter (if a signatory), and explain to users how decisions are made.</t>
  </si>
  <si>
    <t xml:space="preserve">Algorithm Charter for Aotearoa New Zealand; Public Service AI Framework (2025)</t>
  </si>
  <si>
    <t xml:space="preserve">Uses AI</t>
  </si>
  <si>
    <t xml:space="preserve">N/A</t>
  </si>
  <si>
    <t xml:space="preserve">Algorithm Charter for Aotearoa NZ</t>
  </si>
  <si>
    <t xml:space="preserve">https://data.govt.nz/algorithm-charter/</t>
  </si>
  <si>
    <t xml:space="preserve">LEG-08</t>
  </si>
  <si>
    <t xml:space="preserve">Te Tiriti</t>
  </si>
  <si>
    <t xml:space="preserve">Have the Crown's obligations under Te Tiriti o Waitangi been considered in the design of the service, including Māori users' needs?</t>
  </si>
  <si>
    <t xml:space="preserve">Engagement records; design decisions.</t>
  </si>
  <si>
    <t xml:space="preserve">Engage with Māori users and partners in design and consider how the service supports the Crown's relationship with Māori.</t>
  </si>
  <si>
    <t xml:space="preserve">Public Service Act 2020 s14; Digital Service Design Standard</t>
  </si>
  <si>
    <t xml:space="preserve">Public Service Act 2020, section 14</t>
  </si>
  <si>
    <t xml:space="preserve">https://www.legislation.govt.nz/act/public/2020/0040/latest/LMS356875.html</t>
  </si>
  <si>
    <t xml:space="preserve">LEG-09</t>
  </si>
  <si>
    <t xml:space="preserve">Legislative compliance</t>
  </si>
  <si>
    <t xml:space="preserve">Has the service identified the legislation it is subject to - including service-specific legislation such as the Planning Act and Natural Environment Act where relevant - and confirmed it meets the relevant provisions, including equal access, legal basis, public records and information access?</t>
  </si>
  <si>
    <t xml:space="preserve">Register of legislation that applies to the service, with each obligation and how it is met; legal review sign-off; links to evidence for LEG-02 to LEG-05.</t>
  </si>
  <si>
    <t xml:space="preserve">Create and maintain a register of the legislation the service is subject to - including service-specific Acts such as the Planning Act and Natural Environment Act, and cross-cutting obligations on equal access, legal basis, public records and information access - have it reviewed by legal advisors, and re-check it when legislation or the service changes.</t>
  </si>
  <si>
    <t xml:space="preserve">Planning Act; Natural Environment Act; Human Rights Act 1993; NZ Bill of Rights Act 1990; Public Records Act 2005; Official Information Act 1982; Privacy Act 2020</t>
  </si>
  <si>
    <t xml:space="preserve">Planning Act and Natural Environment Act in force 30 Sep 2026 (transitional provisions apply)</t>
  </si>
  <si>
    <t xml:space="preserve">Catch-all legal criterion at weight 3 (v1.10) so legislative obligations are covered in the simple set. Detailed checks remain at LEG-02 to LEG-05. The Planning Act and Natural Environment Act replace the Resource Management Act system with transitional arrangements - confirm which provisions apply to the service.</t>
  </si>
  <si>
    <t xml:space="preserve">Planning and Natural Environment Acts overview</t>
  </si>
  <si>
    <t xml:space="preserve">https://www.buddlefindlay.com/insights/resource-management-reform-an-overview-of-the-planning-act-and-natural-environment-act/</t>
  </si>
  <si>
    <t xml:space="preserve">CMG-01</t>
  </si>
  <si>
    <t xml:space="preserve">Content management and governance</t>
  </si>
  <si>
    <t xml:space="preserve">Ownership</t>
  </si>
  <si>
    <t xml:space="preserve">Is there a named service owner accountable for the service's user experience, roadmap and budget?</t>
  </si>
  <si>
    <t xml:space="preserve">Named owner and terms of reference.</t>
  </si>
  <si>
    <t xml:space="preserve">Appoint a service owner with the authority and budget to improve the service over its lifetime.</t>
  </si>
  <si>
    <t xml:space="preserve">GOV.UK Service Standard point 6</t>
  </si>
  <si>
    <t xml:space="preserve">GOV.UK: have a multidisciplinary team</t>
  </si>
  <si>
    <t xml:space="preserve">https://www.gov.uk/service-manual/service-standard/point-6-have-a-multidisciplinary-team</t>
  </si>
  <si>
    <t xml:space="preserve">CMG-02</t>
  </si>
  <si>
    <t xml:space="preserve">Content lifecycle</t>
  </si>
  <si>
    <t xml:space="preserve">Does each piece of content have an owner and review date, with outdated content updated, archived or removed?</t>
  </si>
  <si>
    <t xml:space="preserve">Content inventory with owners and review dates.</t>
  </si>
  <si>
    <t xml:space="preserve">Assign owners and review dates to all content, review at least annually and remove or archive content that is out of date.</t>
  </si>
  <si>
    <t xml:space="preserve">Good practice; WAS 1.2 (inactive web pages)</t>
  </si>
  <si>
    <t xml:space="preserve">CMG-03</t>
  </si>
  <si>
    <t xml:space="preserve">Accessible authoring</t>
  </si>
  <si>
    <t xml:space="preserve">Does the content management system support accessible authoring - enforcing headings, alt text, link text and accessibility checks before publishing?</t>
  </si>
  <si>
    <t xml:space="preserve">CMS configuration; authoring guidance.</t>
  </si>
  <si>
    <t xml:space="preserve">Configure the CMS to prompt for and check accessibility (alt text, headings, link text) and block publishing of known errors.</t>
  </si>
  <si>
    <t xml:space="preserve">W3C ATAG 2.0</t>
  </si>
  <si>
    <t xml:space="preserve">ATAG 2.0</t>
  </si>
  <si>
    <t xml:space="preserve">Uses CMS</t>
  </si>
  <si>
    <t xml:space="preserve">W3C authoring tool guidelines (ATAG)</t>
  </si>
  <si>
    <t xml:space="preserve">https://www.w3.org/WAI/standards-guidelines/atag/</t>
  </si>
  <si>
    <t xml:space="preserve">CMG-04</t>
  </si>
  <si>
    <t xml:space="preserve">Publishing workflow</t>
  </si>
  <si>
    <t xml:space="preserve">Is there a publishing workflow with review and approval, and are content authors trained in plain language and accessibility?</t>
  </si>
  <si>
    <t xml:space="preserve">Workflow configuration; training records.</t>
  </si>
  <si>
    <t xml:space="preserve">Set up a review and approval workflow and train authors in plain language, accessibility and the style guide.</t>
  </si>
  <si>
    <t xml:space="preserve">CMG-05</t>
  </si>
  <si>
    <t xml:space="preserve">Link health</t>
  </si>
  <si>
    <t xml:space="preserve">Are broken links, redirects and URL changes monitored and managed?</t>
  </si>
  <si>
    <t xml:space="preserve">Link checker results; redirect register.</t>
  </si>
  <si>
    <t xml:space="preserve">Run regular broken-link checks and maintain redirects when URLs change.</t>
  </si>
  <si>
    <t xml:space="preserve">CMG-06</t>
  </si>
  <si>
    <t xml:space="preserve">Sustained funding</t>
  </si>
  <si>
    <t xml:space="preserve">Is ongoing funding and capacity in place to keep improving the service after launch, not only for the initial project?</t>
  </si>
  <si>
    <t xml:space="preserve">Budget line; team capacity plan.</t>
  </si>
  <si>
    <t xml:space="preserve">Secure ongoing funding and a team to maintain and improve the service across its lifetime.</t>
  </si>
  <si>
    <t xml:space="preserve">Digital Service Design Standard; AU DSS 2.0 criterion 10 (keep it relevant)</t>
  </si>
  <si>
    <t xml:space="preserve">CMG-07</t>
  </si>
  <si>
    <t xml:space="preserve">Content management</t>
  </si>
  <si>
    <t xml:space="preserve">Is there an agreed content management approach for the service - named content owners, a review schedule, a publishing workflow with approval, and accessible authoring - and is it being followed?</t>
  </si>
  <si>
    <t xml:space="preserve">Content management plan; content inventory with owners and review dates; publishing workflow records from the last 3 months.</t>
  </si>
  <si>
    <t xml:space="preserve">Put in place and follow a content management approach with named owners, scheduled reviews, an approval workflow and accessible authoring, so content stays accurate, current and consistent.</t>
  </si>
  <si>
    <t xml:space="preserve">OMB M-23-22 (content pillar); W3C ATAG 2.0; good practice</t>
  </si>
  <si>
    <t xml:space="preserve">Weight 3: content management, governance, measurement and continuous improvement are critical to app health and hygiene, and therefore have a consequential impact on user experience if not considered as part of the assessment. Added in v1.10.</t>
  </si>
  <si>
    <t xml:space="preserve">CMG-08</t>
  </si>
  <si>
    <t xml:space="preserve">Governance</t>
  </si>
  <si>
    <t xml:space="preserve">Does the service have clear governance - a named service owner, defined decision rights, a regular forum that reviews performance, risks and the improvement roadmap, and funding for ongoing maintenance?</t>
  </si>
  <si>
    <t xml:space="preserve">Terms of reference; recent governance minutes; risk register; funded roadmap.</t>
  </si>
  <si>
    <t xml:space="preserve">Establish governance for the service with a named owner, clear decision rights, a regular review of performance, risks and roadmap, and ongoing funding for maintenance and improvement.</t>
  </si>
  <si>
    <t xml:space="preserve">GOV.UK Service Standard point 6; Digital Service Design Standard; AU Digital Service Standard 2.0 criterion 10 (keep it relevant)</t>
  </si>
  <si>
    <t xml:space="preserve">MSR-01</t>
  </si>
  <si>
    <t xml:space="preserve">Measurement and continuous improvement</t>
  </si>
  <si>
    <t xml:space="preserve">Success measures</t>
  </si>
  <si>
    <t xml:space="preserve">Are success measures defined for the service (for example completion rate, user satisfaction, cost per transaction, digital take-up) and tracked?</t>
  </si>
  <si>
    <t xml:space="preserve">Measurement framework; dashboard.</t>
  </si>
  <si>
    <t xml:space="preserve">Define success measures linked to the service's purpose and track them in a dashboard the team reviews regularly.</t>
  </si>
  <si>
    <t xml:space="preserve">GOV.UK Service Standard point 10; AU Digital Performance Standard criterion 3</t>
  </si>
  <si>
    <t xml:space="preserve">GOV.UK: define and measure success</t>
  </si>
  <si>
    <t xml:space="preserve">https://www.gov.uk/service-manual/service-standard/point-10-define-success-publish-performance-data</t>
  </si>
  <si>
    <t xml:space="preserve">MSR-02</t>
  </si>
  <si>
    <t xml:space="preserve">Analytics</t>
  </si>
  <si>
    <t xml:space="preserve">Is web analytics implemented in a privacy-respecting way (no personal information in URLs or events, clear notice in the privacy statement)?</t>
  </si>
  <si>
    <t xml:space="preserve">Analytics configuration review.</t>
  </si>
  <si>
    <t xml:space="preserve">Configure analytics to exclude personal information and describe analytics use in the privacy statement.</t>
  </si>
  <si>
    <t xml:space="preserve">Privacy Act 2020; OMB M-23-22 (analytics pillar); OWASP ASVS 5.0.0 V14 (Data Protection)</t>
  </si>
  <si>
    <t xml:space="preserve">MSR-03</t>
  </si>
  <si>
    <t xml:space="preserve">Satisfaction</t>
  </si>
  <si>
    <t xml:space="preserve">Is user satisfaction measured (for example CSAT or the System Usability Scale) and are results used to prioritise improvements?</t>
  </si>
  <si>
    <t xml:space="preserve">Satisfaction results over time; linked backlog items.</t>
  </si>
  <si>
    <t xml:space="preserve">Measure user satisfaction consistently over time and use results to prioritise improvements.</t>
  </si>
  <si>
    <t xml:space="preserve">AU Digital Performance Standard criterion 4; System Usability Scale</t>
  </si>
  <si>
    <t xml:space="preserve">System Usability Scale (Brooke, 1996)</t>
  </si>
  <si>
    <t xml:space="preserve">https://verdi.cs.ucl.ac.uk/constructDB/publications/brooke-susa-1996.html</t>
  </si>
  <si>
    <t xml:space="preserve">MSR-04</t>
  </si>
  <si>
    <t xml:space="preserve">Improvement</t>
  </si>
  <si>
    <t xml:space="preserve">Is there a prioritised improvement backlog fed by research, analytics, feedback and support data, with improvements released regularly?</t>
  </si>
  <si>
    <t xml:space="preserve">Backlog; release notes.</t>
  </si>
  <si>
    <t xml:space="preserve">Maintain a single prioritised backlog drawing on research, analytics, feedback and support trends, and release improvements regularly.</t>
  </si>
  <si>
    <t xml:space="preserve">GOV.UK Service Standard point 8</t>
  </si>
  <si>
    <t xml:space="preserve">GOV.UK Service Standard (14 points)</t>
  </si>
  <si>
    <t xml:space="preserve">https://www.gov.uk/service-manual/service-standard</t>
  </si>
  <si>
    <t xml:space="preserve">MSR-05</t>
  </si>
  <si>
    <t xml:space="preserve">Health check cycle</t>
  </si>
  <si>
    <t xml:space="preserve">Is this UX health check repeated at least annually and after major change, with progress against previous recommendations tracked?</t>
  </si>
  <si>
    <t xml:space="preserve">Previous health check reports and action tracking.</t>
  </si>
  <si>
    <t xml:space="preserve">Repeat the UX health check at least annually and after major change, and track progress on previous recommendations.</t>
  </si>
  <si>
    <t xml:space="preserve">MSR-06</t>
  </si>
  <si>
    <t xml:space="preserve">Measurement</t>
  </si>
  <si>
    <t xml:space="preserve">Is the service's performance measured against agreed indicators - for example availability, task completion, user satisfaction, and open accessibility and usability issues - with results reported to the service owner at least quarterly?</t>
  </si>
  <si>
    <t xml:space="preserve">Agreed indicator set; performance dashboard; the last four quarterly reports.</t>
  </si>
  <si>
    <t xml:space="preserve">Agree a small set of performance indicators covering availability, task completion, satisfaction and open accessibility and usability issues, and report them to the service owner at least quarterly.</t>
  </si>
  <si>
    <t xml:space="preserve">AU Digital Performance Standard criteria 1-5; GOV.UK Service Standard point 10</t>
  </si>
  <si>
    <t xml:space="preserve">MSR-07</t>
  </si>
  <si>
    <t xml:space="preserve">Continuous improvement</t>
  </si>
  <si>
    <t xml:space="preserve">Is there a regular, resourced improvement cycle where insights from research, analytics, feedback, incidents and health checks are turned into prioritised changes that are released and their impact measured?</t>
  </si>
  <si>
    <t xml:space="preserve">Improvement backlog; release history; before-and-after measures for recent changes.</t>
  </si>
  <si>
    <t xml:space="preserve">Run a regular improvement cycle that turns insights from research, analytics, feedback, incidents and health checks into prioritised changes, releases them, and measures their impact.</t>
  </si>
  <si>
    <t xml:space="preserve">GOV.UK Service Standard point 8; AU Digital Service Standard 2.0 criterion 10 (keep it relevant)</t>
  </si>
  <si>
    <t xml:space="preserve">Scoring - detailed criteria</t>
  </si>
  <si>
    <t xml:space="preserve">Yellow cells are editable. Results use the Test answer column on the Criteria tab. Earned/Available are weighted (weight x answer points).</t>
  </si>
  <si>
    <t xml:space="preserve">Parameters</t>
  </si>
  <si>
    <t xml:space="preserve">Answer</t>
  </si>
  <si>
    <t xml:space="preserve">Points</t>
  </si>
  <si>
    <t xml:space="preserve">Overall score cap when any critical criterion is 'No'</t>
  </si>
  <si>
    <t xml:space="preserve">Proposed defaults - validate with test assessments before use.</t>
  </si>
  <si>
    <t xml:space="preserve">Rating threshold - Healthy (score at or above)</t>
  </si>
  <si>
    <t xml:space="preserve">Rating threshold - Good, with gaps (at or above)</t>
  </si>
  <si>
    <t xml:space="preserve">Rating threshold - Needs attention (at or above); below = At risk</t>
  </si>
  <si>
    <t xml:space="preserve">Category results</t>
  </si>
  <si>
    <t xml:space="preserve">Points (of 100)</t>
  </si>
  <si>
    <t xml:space="preserve">Earned</t>
  </si>
  <si>
    <t xml:space="preserve">Available</t>
  </si>
  <si>
    <t xml:space="preserve">Category %</t>
  </si>
  <si>
    <t xml:space="preserve">Score</t>
  </si>
  <si>
    <t xml:space="preserve">What good looks like</t>
  </si>
  <si>
    <t xml:space="preserve">Disabled people, including blind and low vision users, can perceive, operate and complete the service.</t>
  </si>
  <si>
    <t xml:space="preserve">The service is easy to use, works across devices and is designed around user needs.</t>
  </si>
  <si>
    <t xml:space="preserve">Content is plain, accurate, consistent and written in the organisation's voice.</t>
  </si>
  <si>
    <t xml:space="preserve">The service looks and feels consistent with the organisation and NZ Government identity.</t>
  </si>
  <si>
    <t xml:space="preserve">The service protects users and their information and meets NZ security and privacy obligations.</t>
  </si>
  <si>
    <t xml:space="preserve">The service is available, monitored, and issues are found and fixed quickly.</t>
  </si>
  <si>
    <t xml:space="preserve">People can get help, in the channel that works for them, when they need it.</t>
  </si>
  <si>
    <t xml:space="preserve">The service meets NZ legal and public sector obligations about access to services and information.</t>
  </si>
  <si>
    <t xml:space="preserve">The service and its content have clear ownership, workflows and ongoing funding.</t>
  </si>
  <si>
    <t xml:space="preserve">Performance and satisfaction are measured and used to improve the service.</t>
  </si>
  <si>
    <t xml:space="preserve">Total</t>
  </si>
  <si>
    <t xml:space="preserve">Overall result</t>
  </si>
  <si>
    <t xml:space="preserve">Raw score (out of 100, rescaled for N/A categories)</t>
  </si>
  <si>
    <t xml:space="preserve">Critical criteria answered 'No'</t>
  </si>
  <si>
    <t xml:space="preserve">Final score (after critical cap)</t>
  </si>
  <si>
    <t xml:space="preserve">Rating</t>
  </si>
  <si>
    <t xml:space="preserve">Criteria answered</t>
  </si>
  <si>
    <t xml:space="preserve">Criteria N/A</t>
  </si>
  <si>
    <t xml:space="preserve">Criteria not yet answered</t>
  </si>
  <si>
    <t xml:space="preserve">Key recommendations (top 5 by points lost; critical failures first)</t>
  </si>
  <si>
    <t xml:space="preserve">Rank</t>
  </si>
  <si>
    <t xml:space="preserve">Max points (all answered)</t>
  </si>
  <si>
    <t xml:space="preserve">Notes</t>
  </si>
  <si>
    <t xml:space="preserve">Rows are the criteria with weight 3 on the Criteria tab. Question, recommendation and source text is pulled live from the Criteria tab by ID (grey cells).</t>
  </si>
  <si>
    <t xml:space="preserve">From v1.10 the simple set covers all 10 categories: SEC-07 (privacy statement) was raised to weight 3, and LEG-09, CMG-07, CMG-08, MSR-06 and MSR-07 were added at weight 3. See the Version tab.</t>
  </si>
  <si>
    <t xml:space="preserve">Max points shows what each question is worth when every question in its category is answered (N/A answers redistribute points within the category).</t>
  </si>
  <si>
    <t xml:space="preserve">Scoring - simple criteria</t>
  </si>
  <si>
    <t xml:space="preserve">Yellow cells are editable. Results use the Answer column on the Criteria (simple) tab. Category points are the same as the detailed set (all 10 categories are represented from v1.10).</t>
  </si>
  <si>
    <t xml:space="preserve">Questions</t>
  </si>
  <si>
    <t xml:space="preserve">Materiality assessment</t>
  </si>
  <si>
    <t xml:space="preserve">How much this application matters to its users and the organisation, rated 1 (Immaterial) to 5 (Critical). Scored separately and reported alongside - never inside - the UX health score. Answer each factor 1-5 in the yellow column.</t>
  </si>
  <si>
    <t xml:space="preserve">Factor</t>
  </si>
  <si>
    <t xml:space="preserve">1 Immaterial</t>
  </si>
  <si>
    <t xml:space="preserve">2 Low</t>
  </si>
  <si>
    <t xml:space="preserve">3 Moderate</t>
  </si>
  <si>
    <t xml:space="preserve">4 High</t>
  </si>
  <si>
    <t xml:space="preserve">5 Critical</t>
  </si>
  <si>
    <t xml:space="preserve">Weight</t>
  </si>
  <si>
    <t xml:space="preserve">Floor trigger</t>
  </si>
  <si>
    <t xml:space="preserve">Answer (1-5)</t>
  </si>
  <si>
    <t xml:space="preserve">Weighted</t>
  </si>
  <si>
    <t xml:space="preserve">MAT-01</t>
  </si>
  <si>
    <t xml:space="preserve">User dependence</t>
  </si>
  <si>
    <t xml:space="preserve">How dependent are users on the information or service provided in this application?</t>
  </si>
  <si>
    <t xml:space="preserve">Information or service is readily available elsewhere; using this app is optional.</t>
  </si>
  <si>
    <t xml:space="preserve">Available elsewhere with little extra effort.</t>
  </si>
  <si>
    <t xml:space="preserve">Alternatives exist but are noticeably slower, harder or less complete.</t>
  </si>
  <si>
    <t xml:space="preserve">Few practical alternatives; users rely on this app for important tasks.</t>
  </si>
  <si>
    <t xml:space="preserve">Only available in this app, and users need it to complete a necessary or legally required task.</t>
  </si>
  <si>
    <t xml:space="preserve">MAT-02</t>
  </si>
  <si>
    <t xml:space="preserve">Organisation dependence</t>
  </si>
  <si>
    <t xml:space="preserve">How dependent is the organisation on this application, and how would an outage of several hours be received?</t>
  </si>
  <si>
    <t xml:space="preserve">An outage of several days would be tolerated with little impact.</t>
  </si>
  <si>
    <t xml:space="preserve">An outage of a day would cause internal inconvenience only.</t>
  </si>
  <si>
    <t xml:space="preserve">An outage of several hours would disrupt business processes.</t>
  </si>
  <si>
    <t xml:space="preserve">An outage of several hours could lead to complaints from a small group of high-touch users or stakeholders.</t>
  </si>
  <si>
    <t xml:space="preserve">An outage of several hours could attract media attention, Ministerial interest or a breach of statutory obligations.</t>
  </si>
  <si>
    <t xml:space="preserve">MAT-03</t>
  </si>
  <si>
    <t xml:space="preserve">Relative importance</t>
  </si>
  <si>
    <t xml:space="preserve">How important is this application to its users compared with the organisation's other applications?</t>
  </si>
  <si>
    <t xml:space="preserve">One of many minor applications; rarely front of mind.</t>
  </si>
  <si>
    <t xml:space="preserve">Below average importance.</t>
  </si>
  <si>
    <t xml:space="preserve">Similar importance to most of the organisation's applications.</t>
  </si>
  <si>
    <t xml:space="preserve">One of the organisation's more important applications.</t>
  </si>
  <si>
    <t xml:space="preserve">A flagship or primary channel for the organisation's users.</t>
  </si>
  <si>
    <t xml:space="preserve">MAT-04</t>
  </si>
  <si>
    <t xml:space="preserve">Scope of user base</t>
  </si>
  <si>
    <t xml:space="preserve">How broad is the user base - one user group, or several?</t>
  </si>
  <si>
    <t xml:space="preserve">A single small internal team.</t>
  </si>
  <si>
    <t xml:space="preserve">One user group (internal or external).</t>
  </si>
  <si>
    <t xml:space="preserve">Two or three distinct user groups.</t>
  </si>
  <si>
    <t xml:space="preserve">Several user groups, including external users.</t>
  </si>
  <si>
    <t xml:space="preserve">Many user groups, including the general public or sector-wide users.</t>
  </si>
  <si>
    <t xml:space="preserve">MAT-05</t>
  </si>
  <si>
    <t xml:space="preserve">Scale of user base</t>
  </si>
  <si>
    <t xml:space="preserve">Roughly how many people use the application?</t>
  </si>
  <si>
    <t xml:space="preserve">Fewer than 10.</t>
  </si>
  <si>
    <t xml:space="preserve">10 to 99.</t>
  </si>
  <si>
    <t xml:space="preserve">100 to 999.</t>
  </si>
  <si>
    <t xml:space="preserve">1,000 to 9,999.</t>
  </si>
  <si>
    <t xml:space="preserve">10,000 or more.</t>
  </si>
  <si>
    <t xml:space="preserve">MAT-06</t>
  </si>
  <si>
    <t xml:space="preserve">Frequency of access</t>
  </si>
  <si>
    <t xml:space="preserve">How often are typical users expected to use the application?</t>
  </si>
  <si>
    <t xml:space="preserve">Annually or less often.</t>
  </si>
  <si>
    <t xml:space="preserve">Quarterly.</t>
  </si>
  <si>
    <t xml:space="preserve">Monthly.</t>
  </si>
  <si>
    <t xml:space="preserve">Weekly.</t>
  </si>
  <si>
    <t xml:space="preserve">Daily or more often.</t>
  </si>
  <si>
    <t xml:space="preserve">MAT-07</t>
  </si>
  <si>
    <t xml:space="preserve">Consequence of failure or error</t>
  </si>
  <si>
    <t xml:space="preserve">What is the consequence for users if the application fails, is unavailable or gives wrong information?</t>
  </si>
  <si>
    <t xml:space="preserve">Minor inconvenience only.</t>
  </si>
  <si>
    <t xml:space="preserve">Delay or extra effort, easily recovered.</t>
  </si>
  <si>
    <t xml:space="preserve">Significant delay, cost or rework for users.</t>
  </si>
  <si>
    <t xml:space="preserve">Financial, legal or reputational harm to users, or a missed obligation.</t>
  </si>
  <si>
    <t xml:space="preserve">Serious harm - safety, rights, entitlements or statutory deadlines - that may be hard to reverse.</t>
  </si>
  <si>
    <t xml:space="preserve">MAT-08</t>
  </si>
  <si>
    <t xml:space="preserve">Time sensitivity</t>
  </si>
  <si>
    <t xml:space="preserve">How time-critical are the tasks users complete in the application?</t>
  </si>
  <si>
    <t xml:space="preserve">Can wait weeks without impact.</t>
  </si>
  <si>
    <t xml:space="preserve">Can wait days.</t>
  </si>
  <si>
    <t xml:space="preserve">Should be completed within a day or two.</t>
  </si>
  <si>
    <t xml:space="preserve">Same-day completion often needed.</t>
  </si>
  <si>
    <t xml:space="preserve">Time-critical or tied to statutory deadlines; delays have consequences.</t>
  </si>
  <si>
    <t xml:space="preserve">MAT-09</t>
  </si>
  <si>
    <t xml:space="preserve">Users at risk of exclusion</t>
  </si>
  <si>
    <t xml:space="preserve">To what extent does the application serve people who may be disadvantaged if it doesn't work well for them (for example disabled people, people with limited digital access, or people in difficult circumstances)?</t>
  </si>
  <si>
    <t xml:space="preserve">Not at all - users are a small, digitally capable professional group.</t>
  </si>
  <si>
    <t xml:space="preserve">A few such users.</t>
  </si>
  <si>
    <t xml:space="preserve">A meaningful minority of users.</t>
  </si>
  <si>
    <t xml:space="preserve">A large share of users.</t>
  </si>
  <si>
    <t xml:space="preserve">Primarily serves people at risk of exclusion or in difficult circumstances.</t>
  </si>
  <si>
    <t xml:space="preserve">MAT-10</t>
  </si>
  <si>
    <t xml:space="preserve">Sensitivity of information</t>
  </si>
  <si>
    <t xml:space="preserve">How sensitive is the information the application collects, stores or displays?</t>
  </si>
  <si>
    <t xml:space="preserve">Public information only.</t>
  </si>
  <si>
    <t xml:space="preserve">Low-sensitivity internal or contact information.</t>
  </si>
  <si>
    <t xml:space="preserve">Personal information.</t>
  </si>
  <si>
    <t xml:space="preserve">Sensitive personal or commercially sensitive information.</t>
  </si>
  <si>
    <t xml:space="preserve">Highly sensitive information (for example health, financial, identity or classified information).</t>
  </si>
  <si>
    <t xml:space="preserve">Minimum rating when any floor-trigger factor is answered 5</t>
  </si>
  <si>
    <t xml:space="preserve">Floor triggers (Y in column J): user dependence, organisation dependence and consequence of failure. A 5 on any of these means the application can't be rated below the floor, however low the other factors are.</t>
  </si>
  <si>
    <t xml:space="preserve">Materiality result</t>
  </si>
  <si>
    <t xml:space="preserve">Factors answered</t>
  </si>
  <si>
    <t xml:space="preserve">Weighted average (1-5)</t>
  </si>
  <si>
    <t xml:space="preserve">Floor-trigger factors answered 5</t>
  </si>
  <si>
    <t xml:space="preserve">Materiality rating (1-5)</t>
  </si>
  <si>
    <t xml:space="preserve">Materiality label</t>
  </si>
  <si>
    <t xml:space="preserve">What this means</t>
  </si>
  <si>
    <t xml:space="preserve">Suggested service tier</t>
  </si>
  <si>
    <t xml:space="preserve">Agreed service tier (if overridden)</t>
  </si>
  <si>
    <t xml:space="preserve">Record the reason for any override.</t>
  </si>
  <si>
    <t xml:space="preserve">Label</t>
  </si>
  <si>
    <t xml:space="preserve">Meaning and suggested support posture</t>
  </si>
  <si>
    <t xml:space="preserve">Immaterial</t>
  </si>
  <si>
    <t xml:space="preserve">Little dependence on the application. Light-touch support and periodic health checks are proportionate.</t>
  </si>
  <si>
    <t xml:space="preserve">Low</t>
  </si>
  <si>
    <t xml:space="preserve">Some users rely on it occasionally, with easy alternatives. Standard support; fix issues in the normal release cycle.</t>
  </si>
  <si>
    <t xml:space="preserve">Moderate</t>
  </si>
  <si>
    <t xml:space="preserve">A meaningful service for its users or the organisation. Planned support and monitoring; fix significant issues promptly.</t>
  </si>
  <si>
    <t xml:space="preserve">High</t>
  </si>
  <si>
    <t xml:space="preserve">Users or the organisation depend on it. Business-hours (or better) support, proactive monitoring, and prompt remediation of health check findings.</t>
  </si>
  <si>
    <t xml:space="preserve">Critical</t>
  </si>
  <si>
    <t xml:space="preserve">Users must use it to complete necessary tasks and failure has serious consequences. Highest support tier, 24/7 monitoring, and priority remediation of all critical and high findings.</t>
  </si>
  <si>
    <t xml:space="preserve">Service tiers - proposed definitions</t>
  </si>
  <si>
    <t xml:space="preserve">Proposed for MCERT, which has no agreed tier definitions yet. The suggested tier follows from the materiality rating; the service owner can override it with reasons. All targets are starting proposals to confirm with the CDO, operations, suppliers and governance before they are used in contracts or SLAs.</t>
  </si>
  <si>
    <t xml:space="preserve">Tier</t>
  </si>
  <si>
    <t xml:space="preserve">Materiality rating</t>
  </si>
  <si>
    <t xml:space="preserve">When to use</t>
  </si>
  <si>
    <t xml:space="preserve">Availability target</t>
  </si>
  <si>
    <t xml:space="preserve">Support hours</t>
  </si>
  <si>
    <t xml:space="preserve">Priority 1 incident: response / restore</t>
  </si>
  <si>
    <t xml:space="preserve">Priority 2 incident: response / restore</t>
  </si>
  <si>
    <t xml:space="preserve">Recovery time objective (RTO)</t>
  </si>
  <si>
    <t xml:space="preserve">Recovery point objective (RPO)</t>
  </si>
  <si>
    <t xml:space="preserve">Monitoring and alerting</t>
  </si>
  <si>
    <t xml:space="preserve">Planned maintenance</t>
  </si>
  <si>
    <t xml:space="preserve">UX health check frequency</t>
  </si>
  <si>
    <t xml:space="preserve">Target UX health rating</t>
  </si>
  <si>
    <t xml:space="preserve">Remediation of health check findings</t>
  </si>
  <si>
    <t xml:space="preserve">Performance reporting</t>
  </si>
  <si>
    <t xml:space="preserve">Platinum</t>
  </si>
  <si>
    <t xml:space="preserve">Users must use the application to complete necessary tasks; failure has serious consequences or could attract media or Ministerial attention.</t>
  </si>
  <si>
    <t xml:space="preserve">99.9% monthly, measured on key user journeys (about 45 minutes unplanned downtime a month)</t>
  </si>
  <si>
    <t xml:space="preserve">24/7, including on-call</t>
  </si>
  <si>
    <t xml:space="preserve">15 minutes / 2 hours (workaround or restore), 24/7</t>
  </si>
  <si>
    <t xml:space="preserve">1 hour / 8 hours</t>
  </si>
  <si>
    <t xml:space="preserve">4 hours</t>
  </si>
  <si>
    <t xml:space="preserve">15 minutes</t>
  </si>
  <si>
    <t xml:space="preserve">24/7 synthetic monitoring of key journeys at least every 5 minutes, with paging and a public status page</t>
  </si>
  <si>
    <t xml:space="preserve">Outside business hours, with at least 5 business days' notice to users</t>
  </si>
  <si>
    <t xml:space="preserve">Every 6 months and after any major change</t>
  </si>
  <si>
    <t xml:space="preserve">Healthy (85+) with no critical criteria answered 'No'</t>
  </si>
  <si>
    <t xml:space="preserve">Critical findings within 1 month; high within 3 months</t>
  </si>
  <si>
    <t xml:space="preserve">Monthly to the service owner; quarterly to governance</t>
  </si>
  <si>
    <t xml:space="preserve">Gold</t>
  </si>
  <si>
    <t xml:space="preserve">Users or the organisation depend on the application; an outage of several hours could bring complaints from high-touch users or stakeholders.</t>
  </si>
  <si>
    <t xml:space="preserve">99.5% monthly (about 3.5 hours unplanned downtime a month)</t>
  </si>
  <si>
    <t xml:space="preserve">Extended hours (7am-7pm business days), with on-call for Priority 1</t>
  </si>
  <si>
    <t xml:space="preserve">30 minutes / 4 hours</t>
  </si>
  <si>
    <t xml:space="preserve">2 business hours / 1 business day</t>
  </si>
  <si>
    <t xml:space="preserve">8 hours</t>
  </si>
  <si>
    <t xml:space="preserve">1 hour</t>
  </si>
  <si>
    <t xml:space="preserve">Synthetic monitoring of key journeys with alerts routed to the on-call team</t>
  </si>
  <si>
    <t xml:space="preserve">Outside business hours where possible, with at least 5 business days' notice</t>
  </si>
  <si>
    <t xml:space="preserve">Annually and after any major change</t>
  </si>
  <si>
    <t xml:space="preserve">Good, with gaps (70+) with no critical criteria answered 'No'</t>
  </si>
  <si>
    <t xml:space="preserve">Critical findings within 3 months; high within 6 months</t>
  </si>
  <si>
    <t xml:space="preserve">Silver</t>
  </si>
  <si>
    <t xml:space="preserve">A meaningful service for its users or the organisation, with workarounds available during an outage.</t>
  </si>
  <si>
    <t xml:space="preserve">99.0% during business hours</t>
  </si>
  <si>
    <t xml:space="preserve">Business hours (8am-5pm business days)</t>
  </si>
  <si>
    <t xml:space="preserve">1 business day / 5 business days</t>
  </si>
  <si>
    <t xml:space="preserve">24 hours</t>
  </si>
  <si>
    <t xml:space="preserve">Uptime monitoring with alerts during business hours</t>
  </si>
  <si>
    <t xml:space="preserve">With at least 2 business days' notice</t>
  </si>
  <si>
    <t xml:space="preserve">Annually</t>
  </si>
  <si>
    <t xml:space="preserve">Needs attention (50+) with no critical criteria answered 'No'</t>
  </si>
  <si>
    <t xml:space="preserve">Critical findings within 6 months; high planned into the next release cycle</t>
  </si>
  <si>
    <t xml:space="preserve">Quarterly to the service owner</t>
  </si>
  <si>
    <t xml:space="preserve">Bronze</t>
  </si>
  <si>
    <t xml:space="preserve">1-2 Immaterial or Low</t>
  </si>
  <si>
    <t xml:space="preserve">Optional or low-use application with easy alternatives; little impact if unavailable for several days.</t>
  </si>
  <si>
    <t xml:space="preserve">Best effort during business hours</t>
  </si>
  <si>
    <t xml:space="preserve">Business hours, best effort</t>
  </si>
  <si>
    <t xml:space="preserve">Next business day / 5 business days</t>
  </si>
  <si>
    <t xml:space="preserve">5 business days / next planned release</t>
  </si>
  <si>
    <t xml:space="preserve">5 business days</t>
  </si>
  <si>
    <t xml:space="preserve">Basic uptime monitoring</t>
  </si>
  <si>
    <t xml:space="preserve">Any time, with notice where practical</t>
  </si>
  <si>
    <t xml:space="preserve">Every 2 years, or after major change</t>
  </si>
  <si>
    <t xml:space="preserve">No critical criteria answered 'No'</t>
  </si>
  <si>
    <t xml:space="preserve">Critical findings within 12 months, or risk formally accepted by the service owner</t>
  </si>
  <si>
    <t xml:space="preserve">Annually to the service owner</t>
  </si>
  <si>
    <t xml:space="preserve">Rating to tier</t>
  </si>
  <si>
    <t xml:space="preserve">Suggested tier</t>
  </si>
  <si>
    <t xml:space="preserve">Targets are measured monthly unless stated. Business hours are 8am-5pm, Monday to Friday, excluding public holidays.</t>
  </si>
  <si>
    <t xml:space="preserve">Priority 1 = service unavailable or a key task can't be completed by most users. Priority 2 = major function degraded or a workaround is needed.</t>
  </si>
  <si>
    <t xml:space="preserve">'Restore' means service restored or a workaround in place; the underlying fix can follow under problem management.</t>
  </si>
  <si>
    <t xml:space="preserve">Target UX health rating sets the minimum expected result from the health check for each tier; services below it should have a remediation plan agreed by the service owner.</t>
  </si>
  <si>
    <t xml:space="preserve">Supplier contracts and hosting arrangements should be aligned to the tier (see OPS-06).</t>
  </si>
  <si>
    <t xml:space="preserve">UX Health Check report - preview</t>
  </si>
  <si>
    <t xml:space="preserve">Service name</t>
  </si>
  <si>
    <t xml:space="preserve">[Enter service name]</t>
  </si>
  <si>
    <t xml:space="preserve">Assessment date</t>
  </si>
  <si>
    <t xml:space="preserve">[Enter date]</t>
  </si>
  <si>
    <t xml:space="preserve">Preview of the app's report layout, built from the Criteria (simple), Scoring (simple) and Materiality tabs. The UX health score and the materiality rating are separate measures and are never combined.</t>
  </si>
  <si>
    <t xml:space="preserve">1. UX health score</t>
  </si>
  <si>
    <t xml:space="preserve">Thresholds (from Scoring (simple))</t>
  </si>
  <si>
    <t xml:space="preserve">Score (out of 100)</t>
  </si>
  <si>
    <t xml:space="preserve">Questions answered / N/A / unanswered</t>
  </si>
  <si>
    <t xml:space="preserve">2. Materiality (reported separately - not part of the score)</t>
  </si>
  <si>
    <t xml:space="preserve">Green 1 | Yellow-green 2 | Yellow 3 | Orange 4 | Red 5</t>
  </si>
  <si>
    <t xml:space="preserve">Weighted average of factors</t>
  </si>
  <si>
    <t xml:space="preserve">Floor-trigger factors rated 5</t>
  </si>
  <si>
    <t xml:space="preserve">Service tier (agreed, else suggested)</t>
  </si>
  <si>
    <t xml:space="preserve">Tier target UX health rating</t>
  </si>
  <si>
    <t xml:space="preserve">3. Key recommendations</t>
  </si>
  <si>
    <t xml:space="preserve">4. Category results</t>
  </si>
  <si>
    <t xml:space="preserve">Questions (answered/asked)</t>
  </si>
  <si>
    <t xml:space="preserve">Out of</t>
  </si>
  <si>
    <t xml:space="preserve">Reading the two measures together</t>
  </si>
  <si>
    <t xml:space="preserve">The UX health score shows how well the application currently supports a good user experience. The materiality rating shows how much it matters if it doesn't. Use them side by side to prioritise, and compare the score with the target for the service tier: a High or Critical materiality application rated 'Needs attention' or 'At risk' should be remediated before a low-materiality application with the same score. Full per-question recommendations are in the Report recommendation column of Criteria (simple).</t>
  </si>
  <si>
    <t xml:space="preserve">Publisher</t>
  </si>
  <si>
    <t xml:space="preserve">Version / status (at 24 Oct 2026)</t>
  </si>
  <si>
    <t xml:space="preserve">Link</t>
  </si>
  <si>
    <t xml:space="preserve">Link check (24 Oct 2026)</t>
  </si>
  <si>
    <t xml:space="preserve">Licence / reuse note</t>
  </si>
  <si>
    <t xml:space="preserve">Used in</t>
  </si>
  <si>
    <t xml:space="preserve">NZ Government Web Accessibility Standard 1.2</t>
  </si>
  <si>
    <t xml:space="preserve">GCDO (Government Digital Delivery Agency)</t>
  </si>
  <si>
    <t xml:space="preserve">In force from 17 Mar 2025; WCAG 2.2 Level AA with listed exceptions; s4 assessment and reporting. To be replaced by the Digital Accessibility Standard (expected early 2027).</t>
  </si>
  <si>
    <t xml:space="preserve">Fetched - live</t>
  </si>
  <si>
    <t xml:space="preserve">NZ Government content - check the site's copyright page before reusing text.</t>
  </si>
  <si>
    <t xml:space="preserve">ACC-01, ACC-12, ACC-15, CMG-02</t>
  </si>
  <si>
    <t xml:space="preserve">NZ Government Web Usability Standard 1.4</t>
  </si>
  <si>
    <t xml:space="preserve">In force from 17 Mar 2025. s2.2 Government identity, s2.3 Contact information (NZ Relay at s2.3.3), s2.4 Copyright, s2.5 Privacy. Requirements expected to become guidance in the updated Digital Service Design Standard.</t>
  </si>
  <si>
    <t xml:space="preserve">BRD-02, SEC-07, SUP-01, LEG-01</t>
  </si>
  <si>
    <t xml:space="preserve">NZ government logo markup</t>
  </si>
  <si>
    <t xml:space="preserve">Guidance supporting Web Usability Standard s2.2.</t>
  </si>
  <si>
    <t xml:space="preserve">Digital Accessibility Standard (DAS)</t>
  </si>
  <si>
    <t xml:space="preserve">Draft. Public consultation 13 Jul - 7 Aug 2026; final standard expected early 2027; based on EN 301 549; will replace the Web Accessibility Standard.</t>
  </si>
  <si>
    <t xml:space="preserve">Recommended (NZ) - draft</t>
  </si>
  <si>
    <t xml:space="preserve">ACC-01, ACC-13, CON-07, SUP-03</t>
  </si>
  <si>
    <t xml:space="preserve">Draft DAS - large print summary</t>
  </si>
  <si>
    <t xml:space="preserve">Consultation summary (Jul 2026). Source of the draft requirement to reply to accessibility questions within 3 days.</t>
  </si>
  <si>
    <t xml:space="preserve">https://www.digital.govt.nz/assets/Standards-guidance/NZ-government-web-standards/DAS/Digital-Accessibility-Standard-DAS-Large-print.pdf</t>
  </si>
  <si>
    <t xml:space="preserve">Search-indexed (automated fetch blocked)</t>
  </si>
  <si>
    <t xml:space="preserve">Centralised Web Accessibility Checker (CWAC)</t>
  </si>
  <si>
    <t xml:space="preserve">Department of Internal Affairs / GCDO</t>
  </si>
  <si>
    <t xml:space="preserve">Open-source automated WCAG 2.2 checker used for quarterly monitoring of government websites.</t>
  </si>
  <si>
    <t xml:space="preserve">Open source under GPL-3.0 (Crown copyright).</t>
  </si>
  <si>
    <t xml:space="preserve">2018 version: 12 principles. Proposed updated principles published in draft; refresh underway.</t>
  </si>
  <si>
    <t xml:space="preserve">https://www.digital.govt.nz/standards-and-guidance/digital-service-design-standard</t>
  </si>
  <si>
    <t xml:space="preserve">ACC-16, UXD-02, CON-06, CON-08, SUP-06, LEG-08, CMG-06</t>
  </si>
  <si>
    <t xml:space="preserve">Web Content Accessibility Guidelines (WCAG) 2.2</t>
  </si>
  <si>
    <t xml:space="preserve">W3C</t>
  </si>
  <si>
    <t xml:space="preserve">W3C Recommendation (current version dated 12 Dec 2024). Also published as ISO/IEC 40500:2025.</t>
  </si>
  <si>
    <t xml:space="preserve">Mandatory (NZ) via WAS 1.2</t>
  </si>
  <si>
    <t xml:space="preserve">https://www.w3.org/TR/WCAG22/</t>
  </si>
  <si>
    <t xml:space="preserve">W3C Document License - may be quoted with attribution.</t>
  </si>
  <si>
    <t xml:space="preserve">ACC-01 to ACC-13, UXD-01, CON-05, BRD-03, SUP-02</t>
  </si>
  <si>
    <t xml:space="preserve">W3C Accessibility Guidelines (WCAG) 3.0</t>
  </si>
  <si>
    <t xml:space="preserve">Working Draft dated 10 Sep 2026. Not final; not yet referenced by NZ standards.</t>
  </si>
  <si>
    <t xml:space="preserve">Not applicable yet</t>
  </si>
  <si>
    <t xml:space="preserve">https://www.w3.org/TR/wcag-3.0/</t>
  </si>
  <si>
    <t xml:space="preserve">W3C Document License.</t>
  </si>
  <si>
    <t xml:space="preserve">Watch only</t>
  </si>
  <si>
    <t xml:space="preserve">WCAG-EM (Evaluation Methodology)</t>
  </si>
  <si>
    <t xml:space="preserve">WCAG-EM 2.0 published 23 Jul 2026 (covers apps and other digital products); WCAG-EM 1.0 still available.</t>
  </si>
  <si>
    <t xml:space="preserve">Accessibility Maturity Model</t>
  </si>
  <si>
    <t xml:space="preserve">W3C Group Note, 4 Nov 2025.</t>
  </si>
  <si>
    <t xml:space="preserve">Authoring Tool Accessibility Guidelines (ATAG) 2.0</t>
  </si>
  <si>
    <t xml:space="preserve">W3C Recommendation, 24 Sep 2015.</t>
  </si>
  <si>
    <t xml:space="preserve">https://www.w3.org/TR/ATAG20/</t>
  </si>
  <si>
    <t xml:space="preserve">EN 301 549 Accessibility requirements for ICT products and services</t>
  </si>
  <si>
    <t xml:space="preserve">ETSI / CEN / CENELEC</t>
  </si>
  <si>
    <t xml:space="preserve">V4.1.1 (2026-09), adopted 24 Aug 2026. Basis of the draft NZ DAS.</t>
  </si>
  <si>
    <t xml:space="preserve">Recommended (NZ) - via draft DAS</t>
  </si>
  <si>
    <t xml:space="preserve">https://www.etsi.org/deliver/etsi_en/301500_301599/301549/04.01.01_60/en_301549v040101p.pdf</t>
  </si>
  <si>
    <t xml:space="preserve">Free download; ETSI copyright - reference, don't reproduce.</t>
  </si>
  <si>
    <t xml:space="preserve">Future accessibility criteria</t>
  </si>
  <si>
    <t xml:space="preserve">GOV.UK Service Standard</t>
  </si>
  <si>
    <t xml:space="preserve">UK Government Digital Service</t>
  </si>
  <si>
    <t xml:space="preserve">14 points, current.</t>
  </si>
  <si>
    <t xml:space="preserve">Open Government Licence v3.0 - reusable with attribution.</t>
  </si>
  <si>
    <t xml:space="preserve">UXD-02, UXD-03, UXD-08, UXD-09, OPS-01, OPS-04, OPS-05, OPS-10, OPS-11, SUP-06, CMG-01, MSR-01, MSR-04</t>
  </si>
  <si>
    <t xml:space="preserve">GOV.UK Service Manual - Designing for different browsers and devices</t>
  </si>
  <si>
    <t xml:space="preserve">Updated 30 Jan 2026.</t>
  </si>
  <si>
    <t xml:space="preserve">Open Government Licence v3.0.</t>
  </si>
  <si>
    <t xml:space="preserve">Digital Service Standard 2.0 (Australia)</t>
  </si>
  <si>
    <t xml:space="preserve">Digital Transformation Agency</t>
  </si>
  <si>
    <t xml:space="preserve">10 criteria; mandatory for Australian Government services.</t>
  </si>
  <si>
    <t xml:space="preserve">https://www.digital.gov.au/policy/digital-experience/digital-service-standard</t>
  </si>
  <si>
    <t xml:space="preserve">Site content CC BY 4.0 - reusable with attribution.</t>
  </si>
  <si>
    <t xml:space="preserve">ACC-16, UXD-02, UXD-08, UXD-09, UXD-12, SUP-06, CMG-06</t>
  </si>
  <si>
    <t xml:space="preserve">Digital Performance Standard (Australia)</t>
  </si>
  <si>
    <t xml:space="preserve">5 criteria: monitoring framework, availability, success, customer needs, analyse and report.</t>
  </si>
  <si>
    <t xml:space="preserve">OPS-01, OPS-02, OPS-11, SUP-05, MSR-01, MSR-03</t>
  </si>
  <si>
    <t xml:space="preserve">OMB M-23-22 Delivering a Digital-First Public Experience (US)</t>
  </si>
  <si>
    <t xml:space="preserve">US Office of Management and Budget</t>
  </si>
  <si>
    <t xml:space="preserve">Memorandum dated 22 Sep 2023; seven pillars (analytics, accessibility, branding, content, design, search, digitisation).</t>
  </si>
  <si>
    <t xml:space="preserve">US federal government work - generally public domain.</t>
  </si>
  <si>
    <t xml:space="preserve">UXD-01, UXD-06, UXD-10, CON-04, BRD-01, BRD-04, MSR-02</t>
  </si>
  <si>
    <t xml:space="preserve">OWASP Application Security Verification Standard (ASVS)</t>
  </si>
  <si>
    <t xml:space="preserve">OWASP</t>
  </si>
  <si>
    <t xml:space="preserve">5.0.0 (stable, May 2025). 17 chapters, V1-V17.</t>
  </si>
  <si>
    <t xml:space="preserve">CC BY-SA 4.0 (share-alike). Referenced by chapter ID only - no ASVS text reproduced in this library.</t>
  </si>
  <si>
    <t xml:space="preserve">SEC-02, SEC-04, SEC-05, SEC-09, SEC-10, OPS-03, MSR-02</t>
  </si>
  <si>
    <t xml:space="preserve">NZ Information Security Manual (NZISM)</t>
  </si>
  <si>
    <t xml:space="preserve">NCSC (GCSB)</t>
  </si>
  <si>
    <t xml:space="preserve">v3.9 released - check NZISM latest updates for the current version.</t>
  </si>
  <si>
    <t xml:space="preserve">Mandatory (NZ) for mandated agencies</t>
  </si>
  <si>
    <t xml:space="preserve">Check terms on site.</t>
  </si>
  <si>
    <t xml:space="preserve">SEC-01, SEC-03, SEC-04, SEC-05, SEC-09, SEC-10, SEC-11, OPS-08</t>
  </si>
  <si>
    <t xml:space="preserve">Protective Security Requirements (PSR) - annual self-assessment</t>
  </si>
  <si>
    <t xml:space="preserve">Annual self-assessment against 20 mandatory requirements.</t>
  </si>
  <si>
    <t xml:space="preserve">https://www.ncsc.govt.nz/protect-your-organisation/psr-annual-self-assessment/</t>
  </si>
  <si>
    <t xml:space="preserve">Identification Standards</t>
  </si>
  <si>
    <t xml:space="preserve">Current NZ Government identification management standards.</t>
  </si>
  <si>
    <t xml:space="preserve">RealMe</t>
  </si>
  <si>
    <t xml:space="preserve">Department of Internal Affairs</t>
  </si>
  <si>
    <t xml:space="preserve">Government login and verified identity service.</t>
  </si>
  <si>
    <t xml:space="preserve">https://www.realme.govt.nz/en-nz/</t>
  </si>
  <si>
    <t xml:space="preserve">Service - not a source of reusable text.</t>
  </si>
  <si>
    <t xml:space="preserve">NZ Parliament</t>
  </si>
  <si>
    <t xml:space="preserve">In force (version as at 27 Nov 2025).</t>
  </si>
  <si>
    <t xml:space="preserve">NZ legislation - Crown copyright; may be reproduced free of charge (see legislation.govt.nz copyright notice).</t>
  </si>
  <si>
    <t xml:space="preserve">UXD-12, SEC-06, SEC-07, SEC-08, LEG-03, MSR-02</t>
  </si>
  <si>
    <t xml:space="preserve">Privacy impact assessments</t>
  </si>
  <si>
    <t xml:space="preserve">Office of the Privacy Commissioner</t>
  </si>
  <si>
    <t xml:space="preserve">Guidance, templates and how-to guide.</t>
  </si>
  <si>
    <t xml:space="preserve">In force; applies to public service agencies and Crown agents. A repeal bill was before Parliament (see next row).</t>
  </si>
  <si>
    <t xml:space="preserve">Mandatory (NZ) for covered agencies</t>
  </si>
  <si>
    <t xml:space="preserve">Plain Language Act Repeal Bill</t>
  </si>
  <si>
    <t xml:space="preserve">Government Bill 132-1 (2025); first reading 1 Apr 2025; not enacted at 24 Oct 2026.</t>
  </si>
  <si>
    <t xml:space="preserve">Watch</t>
  </si>
  <si>
    <t xml:space="preserve">https://www.legislation.govt.nz/bill/government/2025/132/en/latest/</t>
  </si>
  <si>
    <t xml:space="preserve">Public Records Act 2005</t>
  </si>
  <si>
    <t xml:space="preserve">In force.</t>
  </si>
  <si>
    <t xml:space="preserve">https://www.legislation.govt.nz/act/public/2005/0040/latest/whole.html</t>
  </si>
  <si>
    <t xml:space="preserve">Information and Records Management Standard (16/S1)</t>
  </si>
  <si>
    <t xml:space="preserve">Archives New Zealand</t>
  </si>
  <si>
    <t xml:space="preserve">Issued under s27 of the Public Records Act 2005; page updated 14 Aug 2026.</t>
  </si>
  <si>
    <t xml:space="preserve">In force (version as at 5 Apr 2025).</t>
  </si>
  <si>
    <t xml:space="preserve">New Zealand Bill of Rights Act 1990</t>
  </si>
  <si>
    <t xml:space="preserve">In force (version as at 30 Aug 2022).</t>
  </si>
  <si>
    <t xml:space="preserve">https://legislation.govt.nz/act/public/1990/109/en/latest/</t>
  </si>
  <si>
    <t xml:space="preserve">Public Service Act 2020, s14 Crown's relationships with Māori</t>
  </si>
  <si>
    <t xml:space="preserve">Mandatory (NZ) - context</t>
  </si>
  <si>
    <t xml:space="preserve">Te Ture mō Te Reo Māori 2016 (Māori Language Act 2016)</t>
  </si>
  <si>
    <t xml:space="preserve">Recommended (NZ) - context</t>
  </si>
  <si>
    <t xml:space="preserve">Algorithm Charter for Aotearoa New Zealand</t>
  </si>
  <si>
    <t xml:space="preserve">Stats NZ</t>
  </si>
  <si>
    <t xml:space="preserve">Signatory agencies commit to transparency and accountability in algorithm use.</t>
  </si>
  <si>
    <t xml:space="preserve">Public Service AI Framework</t>
  </si>
  <si>
    <t xml:space="preserve">GCDO</t>
  </si>
  <si>
    <t xml:space="preserve">Version 2025.</t>
  </si>
  <si>
    <t xml:space="preserve">https://standards.digital.govt.nz/nz/generative-ai-guidance-gcdo/public-service-ai-framework/2025/en/</t>
  </si>
  <si>
    <t xml:space="preserve">NZGOAL (NZ Government Open Access and Licensing framework)</t>
  </si>
  <si>
    <t xml:space="preserve">Stats NZ / data.govt.nz</t>
  </si>
  <si>
    <t xml:space="preserve">Version 2; guidance for licensing government copyright works.</t>
  </si>
  <si>
    <t xml:space="preserve">The Accessibility Charter</t>
  </si>
  <si>
    <t xml:space="preserve">Ministry of Social Development</t>
  </si>
  <si>
    <t xml:space="preserve">Launched 15 Feb 2018; commitment to accessible information and alternative formats.</t>
  </si>
  <si>
    <t xml:space="preserve">Risk assessment for public cloud services</t>
  </si>
  <si>
    <t xml:space="preserve">Current guidance, including the risk discovery tool and jurisdictional risk guidance.</t>
  </si>
  <si>
    <t xml:space="preserve">Government domain names</t>
  </si>
  <si>
    <t xml:space="preserve">Government Digital Delivery Agency</t>
  </si>
  <si>
    <t xml:space="preserve">Rules and process for .govt.nz domains.</t>
  </si>
  <si>
    <t xml:space="preserve">Effective complaint handling</t>
  </si>
  <si>
    <t xml:space="preserve">Office of the Ombudsman</t>
  </si>
  <si>
    <t xml:space="preserve">Guide for agencies.</t>
  </si>
  <si>
    <t xml:space="preserve">Government procurement framework (incl. Government Procurement Rules)</t>
  </si>
  <si>
    <t xml:space="preserve">New Zealand Government Procurement (MBIE)</t>
  </si>
  <si>
    <t xml:space="preserve">Current framework.</t>
  </si>
  <si>
    <t xml:space="preserve">Context</t>
  </si>
  <si>
    <t xml:space="preserve">10 Usability Heuristics for User Interface Design</t>
  </si>
  <si>
    <t xml:space="preserve">Nielsen Norman Group</t>
  </si>
  <si>
    <t xml:space="preserve">First published 1994; updated 2020; last reviewed 30 Jan 2024.</t>
  </si>
  <si>
    <t xml:space="preserve">Copyright NN/g. Heuristic names and concepts reused; descriptions are original.</t>
  </si>
  <si>
    <t xml:space="preserve">UXD-04, UXD-05, UXD-06, UXD-07, BRD-04, SUP-02</t>
  </si>
  <si>
    <t xml:space="preserve">ISO 9241-11:2018 Usability: Definitions and concepts</t>
  </si>
  <si>
    <t xml:space="preserve">ISO</t>
  </si>
  <si>
    <t xml:space="preserve">Current (confirmed 2023).</t>
  </si>
  <si>
    <t xml:space="preserve">https://www.iso.org/standard/63500.html</t>
  </si>
  <si>
    <t xml:space="preserve">Paid standard - reference only.</t>
  </si>
  <si>
    <t xml:space="preserve">System Usability Scale (SUS) - Brooke, 1996</t>
  </si>
  <si>
    <t xml:space="preserve">John Brooke</t>
  </si>
  <si>
    <t xml:space="preserve">Widely used 10-item usability questionnaire.</t>
  </si>
  <si>
    <t xml:space="preserve">Widely used without charge with attribution; confirm terms against the original publication before embedding the questionnaire in the app.</t>
  </si>
  <si>
    <t xml:space="preserve">Web Vitals (Core Web Vitals)</t>
  </si>
  <si>
    <t xml:space="preserve">Google (web.dev)</t>
  </si>
  <si>
    <t xml:space="preserve">Current: LCP, INP, CLS.</t>
  </si>
  <si>
    <t xml:space="preserve">Content CC BY 4.0; code samples Apache 2.0.</t>
  </si>
  <si>
    <t xml:space="preserve">HTTP Observatory</t>
  </si>
  <si>
    <t xml:space="preserve">Mozilla (MDN)</t>
  </si>
  <si>
    <t xml:space="preserve">Free online security header scanner.</t>
  </si>
  <si>
    <t xml:space="preserve">Free tool - evidence source.</t>
  </si>
  <si>
    <t xml:space="preserve">SSL Server Test</t>
  </si>
  <si>
    <t xml:space="preserve">Qualys SSL Labs</t>
  </si>
  <si>
    <t xml:space="preserve">Free online TLS configuration scanner.</t>
  </si>
  <si>
    <t xml:space="preserve">https://www.ssllabs.com/ssltest/</t>
  </si>
  <si>
    <t xml:space="preserve">axe-core</t>
  </si>
  <si>
    <t xml:space="preserve">Deque Systems</t>
  </si>
  <si>
    <t xml:space="preserve">Open-source accessibility testing engine.</t>
  </si>
  <si>
    <t xml:space="preserve">https://github.com/dequelabs/axe-core</t>
  </si>
  <si>
    <t xml:space="preserve">Open source under MPL-2.0.</t>
  </si>
  <si>
    <t xml:space="preserve">Site Reliability Engineering books</t>
  </si>
  <si>
    <t xml:space="preserve">Google</t>
  </si>
  <si>
    <t xml:space="preserve">Several titles readable online.</t>
  </si>
  <si>
    <t xml:space="preserve">Concepts only.</t>
  </si>
  <si>
    <t xml:space="preserve">OPS-03, OPS-07</t>
  </si>
  <si>
    <t xml:space="preserve">DORA metrics</t>
  </si>
  <si>
    <t xml:space="preserve">DORA (Google Cloud)</t>
  </si>
  <si>
    <t xml:space="preserve">Five software delivery performance metrics.</t>
  </si>
  <si>
    <t xml:space="preserve">ITIL</t>
  </si>
  <si>
    <t xml:space="preserve">PeopleCert</t>
  </si>
  <si>
    <t xml:space="preserve">ITIL 4 and ITIL (Version 5) certifications current.</t>
  </si>
  <si>
    <t xml:space="preserve">https://www.peoplecert.org/browse-certifications/it-governance-and-service-management/ITIL-1</t>
  </si>
  <si>
    <t xml:space="preserve">Proprietary - reference concepts only.</t>
  </si>
  <si>
    <t xml:space="preserve">OPS-04, SUP-04</t>
  </si>
  <si>
    <t xml:space="preserve">Planning Act and Natural Environment Act (overview)</t>
  </si>
  <si>
    <t xml:space="preserve">NZ Parliament (overview by Buddle Findlay)</t>
  </si>
  <si>
    <t xml:space="preserve">Both Acts received Royal assent and came into force on 30 Sep 2026, with transitional provisions from the Resource Management Act 1991. Official text not yet located on legislation.govt.nz at 24 Oct 2026 - replace this link with the legislation.govt.nz pages when available.</t>
  </si>
  <si>
    <t xml:space="preserve">Mandatory (NZ) where relevant to the service</t>
  </si>
  <si>
    <t xml:space="preserve">Law firm commentary - link only; cite the Acts themselves.</t>
  </si>
  <si>
    <t xml:space="preserve">Planning and environment Acts become law (news)</t>
  </si>
  <si>
    <t xml:space="preserve">Inside Government NZ</t>
  </si>
  <si>
    <t xml:space="preserve">News report dated 30 Sep 2026 confirming Royal assent; transitional consenting arrangements and phased implementation through 2027-2030.</t>
  </si>
  <si>
    <t xml:space="preserve">https://insidegovernment.co.nz/?p=37222</t>
  </si>
  <si>
    <t xml:space="preserve">News - link only.</t>
  </si>
  <si>
    <t xml:space="preserve">Link check key</t>
  </si>
  <si>
    <t xml:space="preserve">Fetched - live: the page was retrieved on 24 Oct 2026 and confirmed to be the named source.</t>
  </si>
  <si>
    <t xml:space="preserve">Search-indexed: the site blocks automated retrieval or returned no readable body; the exact URL was confirmed live through current search results.</t>
  </si>
  <si>
    <t xml:space="preserve">Release date</t>
  </si>
  <si>
    <t xml:space="preserve">Prepared by</t>
  </si>
  <si>
    <t xml:space="preserve">Approved by</t>
  </si>
  <si>
    <t xml:space="preserve">Summary</t>
  </si>
  <si>
    <t xml:space="preserve">Changes in this version</t>
  </si>
  <si>
    <t xml:space="preserve">How the framework was developed</t>
  </si>
  <si>
    <t xml:space="preserve">Evidence base</t>
  </si>
  <si>
    <t xml:space="preserve">Structure and categories - rationale</t>
  </si>
  <si>
    <t xml:space="preserve">Weighting and scoring - rationale</t>
  </si>
  <si>
    <t xml:space="preserve">Critical criteria - rationale</t>
  </si>
  <si>
    <t xml:space="preserve">Simple set - rationale</t>
  </si>
  <si>
    <t xml:space="preserve">Link verification</t>
  </si>
  <si>
    <t xml:space="preserve">Licensing and reuse</t>
  </si>
  <si>
    <t xml:space="preserve">Known limitations and assumptions</t>
  </si>
  <si>
    <t xml:space="preserve">Next review triggers</t>
  </si>
  <si>
    <t xml:space="preserve">v1.00</t>
  </si>
  <si>
    <t xml:space="preserve">24 Oct 2026</t>
  </si>
  <si>
    <t xml:space="preserve">Released for review and piloting</t>
  </si>
  <si>
    <t xml:space="preserve">Drafted with Claude (Anthropic AI assistant) for the product owner</t>
  </si>
  <si>
    <t xml:space="preserve">To be confirmed by the product owner</t>
  </si>
  <si>
    <t xml:space="preserve">First released version of the UX Health Check criteria library for NZ Government agencies. It provides a detailed set of 91 self-assessment criteria across 10 categories, a simple set of 13 high-importance criteria intended as the basis of the app, scoring models for both that produce a score out of 100 with key recommendations, and a source register with links checked against live pages.</t>
  </si>
  <si>
    <t xml:space="preserve">Supersedes working draft v0.1 (24 Oct 2026, not released).
- Sources: every link checked against live pages on 24 Oct 2026; links written from memory replaced with confirmed URLs (notably legislation.govt.nz, digital.govt.nz and digital.gov.au addresses); 'Link check' column added; new entries added so every source named in the criteria has an entry (e.g. Archives NZ IRM Standard, OPC PIA guidance, Identification Standards, RealMe, NZGOAL, Accessibility Charter, cloud risk guidance, Ombudsman, procurement framework, Public Service AI Framework, Plain Language Act Repeal Bill).
- Status updates found during checking: WCAG-EM 2.0 published 23 Jul 2026; WCAG 3.0 Working Draft updated 10 Sep 2026; EN 301 549 V4.1.1 adopted 24 Aug 2026; NZISM v3.9 released; Plain Language Act Repeal Bill introduced (first reading 1 Apr 2025, not enacted); CWAC licence corrected to GPL-3.0; DORA now uses five metrics; ITIL Version 5 available.
- Section references made precise where confirmed: Web Usability Standard 1.4 s2.2 (Government identity), s2.3 (Contact information, NZ Relay at s2.3.3), s2.4 (Copyright), s2.5 (Privacy); Web Accessibility Standard 1.2 s4 (assessment and reporting).
- OWASP ASVS: referenced by chapter ID only (V3, V6, V7, V12, V14, V15, V16, and V1-V17 for SEC-02); no ASVS text reproduced; review note added to each affected row.
- New tabs: Criteria (simple), Scoring (simple), Version.</t>
  </si>
  <si>
    <t xml:space="preserve">1. Landscape scan: searched for published, freely available UX and digital service assessment frameworks internationally. No existing free tool was found that combines UX, accessibility, brand, security, observability, support and legal obligations into one scored self-assessment, so the library was built by combining established published criteria.
2. NZ baseline first: current mandatory NZ standards and legislation were identified and their status confirmed (Web Accessibility Standard 1.2, Web Usability Standard 1.4, draft DAS, DSDS refresh, Privacy Act 2020, Public Records Act 2005, Plain Language Act 2022, NZISM/PSR).
3. International good practice added where NZ has no equivalent: GOV.UK Service Standard (user research, reliability, governance), Australia's Digital Service and Digital Performance Standards (monitoring, availability, satisfaction), US OMB M-23-22 (branding, content, search, analytics), OWASP ASVS (application security), W3C maturity, evaluation and authoring guidance, and recognised usability methods (Nielsen heuristics, ISO 9241-11, SUS).
4. Criteria written: each requirement was turned into a single self-assessment question answerable Yes / Partial / No / N/A, with an evidence prompt, an action-oriented recommendation, source and version, NZ status and applicability. Wording is original. The three example recommendations supplied at the outset (adaptive layout, proactive monitoring, brand guidelines) were included as UXD-01, OPS-02 and BRD-01.
5. Scoring designed and tested: weights, category points and critical flags assigned; scoring built as live spreadsheet formulas and tested with sample answers, including a test that a critical 'No' caps the score and ranks first in the recommendations.
6. Verification: all formulas recalculated with zero errors; every source link checked against the live page.</t>
  </si>
  <si>
    <t xml:space="preserve">52 sources are listed on the Sources tab. Core sources by area:
- Accessibility: WCAG 2.2, Web Accessibility Standard 1.2, draft DAS, EN 301 549 V4.1.1, WCAG-EM 2.0, W3C Accessibility Maturity Model, CWAC.
- Usability and design: GOV.UK Service Standard, AU Digital Service Standard 2.0, OMB M-23-22, Nielsen heuristics, ISO 9241-11, Core Web Vitals.
- Content and brand: Plain Language Act 2022, Web Usability Standard 1.4, organisation guidelines, Māori Language Act 2016, Accessibility Charter.
- Security and privacy: NZISM, PSR, OWASP ASVS 5.0.0, Privacy Act 2020, OPC PIA guidance, Identification Standards, GCDO cloud risk guidance.
- Operations and support: AU Digital Performance Standard, GOV.UK point 14, SRE practice, DORA, ITIL, Ombudsman guidance.
- Legal: Public Records Act 2005 and Archives IRM Standard, OIA 1982, Human Rights Act 1993, NZ Bill of Rights Act 1990, Public Service Act 2020 s14, Algorithm Charter, Public Service AI Framework, NZGOAL.</t>
  </si>
  <si>
    <t xml:space="preserve">Ten categories were chosen to cover the full user experience, not only the interface: Accessibility; Usability and design; Content and tone of voice; Brand and visual consistency; Security and privacy; Reliability, observability and service levels; Support and contact channels; Legal and regulatory; Content management and governance; Measurement and continuous improvement. They map to the areas requested at the outset (accessibility for blind and low vision users, brand and tone, security and observability, legal and regulatory access requirements, support channels, outage SLAs and remediation, content management) plus governance and measurement, which international standards treat as necessary to maintain a good experience over time.
Each criterion has a stable ID (category prefix + number) so the app and reports can reference it across versions. 'Applies to' lets the app skip questions that don't fit a service (e.g. authenticated, media, AI).</t>
  </si>
  <si>
    <t xml:space="preserve">- Category points (out of 100) reflect breadth of user impact and the weight of NZ mandatory obligations: Accessibility 20 (mandatory standard, largest user impact, explicit focus on blind and low vision users); Usability and design 15; Security and privacy 14; Reliability, observability and service levels 13; Content 8; Support 8; Brand 6; Legal 6; Content management 5; Measurement 5. Legal is weighted modestly because many legal obligations are also tested in other categories (accessibility, privacy, contact information).
- Criterion weights (1-3) set relative importance within a category: 3 where failure blocks users or breaches a core obligation; 2 for significant quality or compliance practices; 1 for supporting practices.
- Answers: Yes 1, Partial 0.5, No 0; N/A excluded and points redistributed so services are not penalised for criteria that don't apply.
- Points lost ranks recommendations so the report's key recommendations show the changes that would most improve the score.
- Rating bands: Healthy 85+, Good with gaps 70-84, Needs attention 50-69, At risk below 50. All are proposed defaults to validate in piloting.</t>
  </si>
  <si>
    <t xml:space="preserve">Seven criteria are critical in the detailed set: ACC-01 WCAG 2.2 AA assessment, ACC-05 keyboard access, UXD-01 responsive design, SEC-01 security certification and accreditation, SEC-07 privacy statement, OPS-04 incident management, SUP-01 contact page with non-digital channels.
Rationale: a 'No' on any of these means some users cannot use the service at all, or the agency is in clear breach of a mandatory NZ obligation. A weighted average could otherwise hide such a failure behind good scores elsewhere, so any critical 'No' caps the overall score at 60 ('Needs attention') and that recommendation is always listed first. 'Partial' does not trigger the cap, to recognise work in progress.</t>
  </si>
  <si>
    <t xml:space="preserve">The simple set contains the 13 criteria with weight 3, as requested, and is intended as the basis for the app. It shows only the question, category, critical flag, recommendation, source, NZ status and applicability, without evidence prompts or weights, to keep the self-assessment quick.
Scoring: the same method as the detailed set, so results are comparable in shape. Every question carries equal weight within its category. Category points are the detailed category points for the seven categories represented, rescaled to total 100 (Accessibility 24, Usability and design 18, Security and privacy 17, Reliability 15, Content 10, Support 9, Brand 7). Six of the 13 questions are critical.
Text is pulled from the Criteria tab by ID so the two sets don't drift apart.</t>
  </si>
  <si>
    <t xml:space="preserve">All links on the Sources tab were checked on 24 Oct 2026. 49 pages were retrieved and confirmed to be the named source ('Fetched - live'). 3 were confirmed through current search results because the site blocks automated retrieval or served no readable body ('Search-indexed'): AU Digital Service Standard, NZ Identification Standards, and the draft DAS large print summary. Links are not a guarantee of future availability; re-check before publishing in the app and at each version.</t>
  </si>
  <si>
    <t xml:space="preserve">- All questions, evidence prompts and recommendations are original wording.
- OWASP ASVS (CC BY-SA 4.0): referenced by chapter ID only so share-alike obligations are not triggered. If the app needs requirement-level detail, cite IDs (v5.0.0-x.y.z) and link to ASVS rather than copying text.
- NN/g heuristics: names and concepts only. ISO and ITIL: reference only (proprietary).
- Openly reusable with attribution: GOV.UK (OGL v3.0), Australian DTA (CC BY 4.0), W3C (W3C Document License), web.dev (CC BY 4.0), US OMB (public domain).
- NZ Government content: check each site's copyright page; NZ legislation is Crown copyright and may be reproduced free of charge.</t>
  </si>
  <si>
    <t xml:space="preserve">- Weights, category points, critical flags, cap (60) and rating bands are expert judgements, not empirically derived; validate by piloting on 2-3 services.
- The simple set doesn't cover Legal and regulatory, Content management and governance, or Measurement and continuous improvement, and excludes the critical privacy statement criterion (SEC-07, weight 2). Consider adding SEC-07 and one legal criterion if the app should flag mandatory obligations.
- Self-assessment relies on honest answers; the app may need evidence prompts or reviewer sign-off for critical and mandatory criteria.
- 'Mandatory (NZ)' depends on whether an organisation is mandated by each standard or covered by each Act.
- Not legal advice; agencies should confirm obligations with their legal and privacy advisors.
- Simple set membership is maintained manually if weights change.</t>
  </si>
  <si>
    <t xml:space="preserve">- Digital Accessibility Standard finalised (expected early 2027): update ACC criteria and sources, possibly re-baseline on EN 301 549.
- Updated Digital Service Design Standard published, and Web Usability Standard requirements moved into it: update BRD-02, SUP-01, SEC-07, LEG-01 sources and NZ status.
- Plain Language Act Repeal Bill enacted: change CON-01 NZ status to Good practice.
- New NZISM version, ASVS release, or WCAG 3.0 reaching Candidate Recommendation.
- Results of the pilot assessments (weights, cap, rating bands).
- At least every 12 months: re-check all links.</t>
  </si>
  <si>
    <t xml:space="preserve">v1.10</t>
  </si>
  <si>
    <t xml:space="preserve">Extends v1.00 so the simple set covers all 10 categories and adds a separate materiality assessment. The detailed set now has 96 criteria and the simple set 19. Materiality is rated 1 (Immaterial) to 5 (Critical) from 10 factor questions and shown on the report separately from the UX health score.</t>
  </si>
  <si>
    <t xml:space="preserve">- SEC-07 (privacy statement) raised from weight 2 to 3, so it joins the simple set.
- New LEG-09 (weight 3): catch-all legislative compliance criterion covering service-specific legislation (e.g. the Planning Act and Natural Environment Act, in force 30 Sep 2026) and the provisions on equal access, legal basis, public records and information access. LEG-02 to LEG-05 remain as the detailed checks.
- New CMG-07 Content management, CMG-08 Governance, MSR-06 Measurement and MSR-07 Continuous improvement (all weight 3), each with a note in the master list that weight 3 reflects their importance to app health and hygiene.
- Criteria (simple) now holds 19 questions across all 10 categories (previously 13 across 7). Scoring (simple) now uses the same category points as the detailed set.
- New Materiality tab: 10 factor questions with 1-5 anchors, weights, a floor rule, and the rating scale with suggested support posture.
- New Report (simple) tab: preview of the output report showing the UX health score, the materiality rating as a separate section, key recommendations and category results.
- Sources: Planning Act and Natural Environment Act added (links checked 24 Oct 2026).</t>
  </si>
  <si>
    <t xml:space="preserve">- Weight changes and new criteria were made at the product owner's direction. New criteria follow the same pattern as existing ones (single question, evidence prompt, recommendation, source, NZ status) and reuse sources already in the library.
- The materiality question set was created from the factors the product owner specified (user dependence, organisation dependence and service tier, relative importance, scope and scale of user base, frequency of access) plus four further factors that commonly drive service criticality: consequence of failure, time sensitivity, users at risk of exclusion, and sensitivity of information.
- Each factor has a defined anchor for every point on the 1-5 scale so different assessors rate consistently. The organisation dependence anchors use the product owner's examples (Gold: several hours outage may bring complaints from a small group of high-touch users; Platinum: may attract media attention).
- Scoring for both new tabs was tested with sample answers, including the floor rule, and all formulas recalculate without errors.</t>
  </si>
  <si>
    <t xml:space="preserve">- New sources: Planning Act and Natural Environment Act (Royal assent and in force 30 Sep 2026, confirmed through a law firm overview and a news report; official legislation.govt.nz pages not yet located).
- New criteria draw on sources already listed: GOV.UK Service Standard points 6, 8 and 10; AU Digital Performance Standard; AU Digital Service Standard criterion 10; Digital Service Design Standard; OMB M-23-22; W3C ATAG 2.0; and the legislation listed for LEG-02 to LEG-05.
- The materiality factors are original to this library and reflect common service-tiering and business impact practice; they are not taken from a single published standard.</t>
  </si>
  <si>
    <t xml:space="preserve">Materiality is a separate dimension rather than an eleventh category. It measures how much the application matters, not how well it performs, so combining it into the 100-point score would blur both messages - a critical application with good UX and a minor application with poor UX could end up with similar numbers. Keeping it separate lets the report answer two questions: how healthy is the experience, and how much does that matter.</t>
  </si>
  <si>
    <t xml:space="preserve">- Simple set: category points now match the detailed set because all 10 categories are represented.
- Materiality factor weights: 3 for user dependence, organisation dependence and consequence of failure (they most directly decide how much harm a failure causes); 2 for relative importance, scope, scale and users at risk of exclusion; 1 for frequency, time sensitivity and information sensitivity (these refine the picture and partly overlap with security criteria).
- Rating: the weighted average of answered factors, rounded to the nearest whole number (1-5). Unanswered factors are excluded.
- Floor rule: if user dependence, organisation dependence or consequence of failure is rated 5, the overall materiality can't be lower than 4 (High). Without this, a single decisive factor (e.g. a platinum-tier app used by a small team) could be averaged down to Moderate.</t>
  </si>
  <si>
    <t xml:space="preserve">Unchanged from v1.00 - seven critical criteria. SEC-07 remains critical and is now in the simple set, so the simple set has seven critical criteria. LEG-09 and the four new hygiene criteria are weight 3 but not critical: a 'No' reduces the score substantially but doesn't on its own mean users can't use the service. Consider making LEG-09 critical once agencies have a legislation register in place.</t>
  </si>
  <si>
    <t xml:space="preserve">The simple set is all weight-3 criteria: 19 questions covering all 10 categories, including privacy (SEC-07), legislative compliance (LEG-09), content management, governance, measurement and continuous improvement. Materiality is part of the simple assessment and is answered alongside it, but scored separately.</t>
  </si>
  <si>
    <t xml:space="preserve">New sources checked on 24 Oct 2026: the Buddle Findlay overview and the Inside Government news report on the Planning Act and Natural Environment Act were both retrieved and confirmed. All other links unchanged from v1.00.</t>
  </si>
  <si>
    <t xml:space="preserve">Unchanged from v1.00. New questions, anchors and recommendations are original wording.</t>
  </si>
  <si>
    <t xml:space="preserve">- Materiality anchors, weights and the floor rule are expert judgements; validate them in piloting, especially the user-number bands for scale (fewer than 10 to 10,000 or more) and the service tier descriptions, which should match the organisation's own application tiering if one exists.
- Materiality is self-assessed; agencies may want the service owner and a governance group to confirm the rating.
- Planning Act and Natural Environment Act: implementation is phased and transitional provisions apply; LEG-09 asks agencies to confirm which provisions apply to their service.
- All v1.00 limitations still apply.</t>
  </si>
  <si>
    <t xml:space="preserve">- Replace the Planning Act and Natural Environment Act overview links with the official legislation.govt.nz pages when available.
- Align the organisation dependence anchors (Platinum, Gold, Silver) with the agency's own application tiering if different.
- Review materiality weights and floor rule after piloting.
- All v1.00 review triggers still apply.</t>
  </si>
  <si>
    <t xml:space="preserve">v1.20</t>
  </si>
  <si>
    <t xml:space="preserve">Adds proposed service tier definitions (Platinum, Gold, Silver, Bronze) linked to the materiality rating, and shows the suggested tier and its target UX health rating on the report. MCERT has no agreed tier definitions yet; these are proposals to confirm.</t>
  </si>
  <si>
    <t xml:space="preserve">- New Service tiers tab: four tiers with availability targets, support hours, Priority 1 and 2 response and restore times, RTO and RPO, monitoring, maintenance notice, health check frequency, target UX health rating, remediation timeframes for findings, and reporting.
- Materiality tab: suggested service tier derived from the materiality rating (5 Platinum, 4 Gold, 3 Silver, 1-2 Bronze), plus an 'Agreed service tier' cell for overrides.
- Report (simple): shows the service tier (agreed, else suggested) and the tier's target UX health rating in the materiality section.
- MAT-02 renamed 'Organisation dependence' and tier names removed from its answer descriptions, so the tier is derived from materiality rather than feeding into it (avoids circular logic). The outage-impact wording is unchanged.</t>
  </si>
  <si>
    <t xml:space="preserve">- The product owner confirmed the materiality floor rule, the Planning Act and Natural Environment Act sources and LEG-09, and advised that MCERT has no tier definitions yet.
- Tier definitions were drafted to line up with the materiality scale and with targets commonly used in government and industry service tiering. Each tier links the two measures in the report: materiality sets the tier, and the tier sets the minimum UX health rating expected.
- Formulas tested, including overriding the suggested tier.</t>
  </si>
  <si>
    <t xml:space="preserve">Tier targets are proposals based on common service management and site reliability practice (ITIL incident priorities, availability and recovery objectives) and the AU Digital Performance Standard's focus on availability monitoring. They are not taken from a single published NZ standard.</t>
  </si>
  <si>
    <t xml:space="preserve">Tiers sit on their own tab so they can be adopted (or replaced with MCERT's own definitions later) without changing the criteria or scoring.</t>
  </si>
  <si>
    <t xml:space="preserve">- Rating to tier: 5 Platinum, 4 Gold, 3 Silver, 1-2 Bronze (editable on the Service tiers tab). Ratings 1 and 2 share Bronze because the support difference between them is too small to justify a separate tier.
- Target UX health rating rises with tier (Bronze: no critical failures; Silver: Needs attention or better; Gold: Good, with gaps or better; Platinum: Healthy), so higher-materiality services are held to a higher standard.
- Health check frequency and remediation timeframes shorten as the tier rises.</t>
  </si>
  <si>
    <t xml:space="preserve">Unchanged. Every tier requires no critical criteria answered 'No'.</t>
  </si>
  <si>
    <t xml:space="preserve">Unchanged: 19 questions. The suggested tier is reported with materiality, not added to the UX score.</t>
  </si>
  <si>
    <t xml:space="preserve">No new external links in this version.</t>
  </si>
  <si>
    <t xml:space="preserve">Unchanged from v1.00. Tier definitions are original wording.</t>
  </si>
  <si>
    <t xml:space="preserve">- Tier targets are proposals and need confirming with the CDO, operations, suppliers and governance before they're used in contracts or SLAs. Cost of meeting Platinum and Gold targets (for example 24/7 support) hasn't been assessed.
- Until tiers are agreed, the suggested tier should be treated as indicative.
- All earlier limitations still apply.</t>
  </si>
  <si>
    <t xml:space="preserve">- MCERT agrees tier definitions: replace or update the Service tiers tab.
- Supplier contracts reviewed against tier targets.
- All earlier review triggers still apply.</t>
  </si>
  <si>
    <t xml:space="preserve">v1.30</t>
  </si>
  <si>
    <t xml:space="preserve">Improves the report layout: colour-coded score and materiality, a supporting link for every recommendation, and questions answered per category.</t>
  </si>
  <si>
    <t xml:space="preserve">- Report section 1: score and rating cells shaded light red (0-50), light yellow (above 50 and below 80) or light green (80-100), driven by the score.
- Report section 2: materiality rating and label cells shaded by rating - 1 light red, 2 light orange (red-yellow), 3 light yellow, 4 light yellow-green, 5 light green.
- Report section 3: new Supporting link column. Every criterion now has a short link label (six words or fewer) and a link, held in new columns W-X of the Criteria tab and shown in Criteria (simple). Where no external guidance applies (e.g. organisation brand or tone of voice guidelines), the label tells the assessor to use their own organisation's guidance and no link is shown.
- Report section 4: new Questions column showing questions answered / asked per category (N/A counts as answered).</t>
  </si>
  <si>
    <t xml:space="preserve">- Colour bands and the materiality colour order were specified by the product owner.
- Supporting links: each criterion was matched to the most specific relevant page already verified for the Sources tab, or to a new deep link checked on 24 Oct 2026 (GOV.UK Service Standard points 1, 2, 3, 4, 6, 10, 13 and 14; GOV.UK pages on inclusive services and mobile; WCAG 2.2 quick reference; DSDS principles and principle 4; AU Digital Performance Standard criteria 1 and 2; NN/g heuristic evaluation and help and documentation articles; W3C ATAG overview).</t>
  </si>
  <si>
    <t xml:space="preserve">All supporting links are on pages checked live on 24 Oct 2026. Two candidate pages were rejected because they returned no readable content (DSDS principle 1 and the 'About the Web Accessibility Standard' page) and an NN/g article was rejected because it redirected in a loop; broader pages were used instead.</t>
  </si>
  <si>
    <t xml:space="preserve">Supporting links are stored on the master Criteria tab so the app can show them for any recommendation, not just the top five.</t>
  </si>
  <si>
    <t xml:space="preserve">- The report colour bands (red 0-50, yellow 51-79, green 80-100) are presentation bands and differ from the rating bands (At risk below 50, Needs attention 50-69, Good with gaps 70-84, Healthy 85+). For example a score of 82 shows green but is rated 'Good, with gaps'. Consider aligning the two.
- A capped score of 60 (critical failure) displays yellow.</t>
  </si>
  <si>
    <t xml:space="preserve">Unchanged.</t>
  </si>
  <si>
    <t xml:space="preserve">Unchanged: 19 questions. Each now carries a supporting link.</t>
  </si>
  <si>
    <t xml:space="preserve">New deep links checked 24 Oct 2026 as listed under 'How the framework was developed'.</t>
  </si>
  <si>
    <t xml:space="preserve">Links point to guidance; no content is reproduced.</t>
  </si>
  <si>
    <t xml:space="preserve">- Materiality colours run from red (1, immaterial) to green (5, critical) as specified. Readers may associate green with 'good' or 'low risk'; add a legend in the app.
- Nine criteria rely on organisation-specific guidance and have no external link.
- All earlier limitations still apply.</t>
  </si>
  <si>
    <t xml:space="preserve">- Decide whether to align report colour bands with rating bands.
- Replace 'use your organisation's guidance' labels with links to MCERT's brand, tone of voice and style guides when available.
- Re-check all supporting links at each version.</t>
  </si>
  <si>
    <t xml:space="preserve">v1.40</t>
  </si>
  <si>
    <t xml:space="preserve">Aligns the report's score colours with the rating bands, shows any critical failure in red, and reverses the materiality colours so red means critical.</t>
  </si>
  <si>
    <t xml:space="preserve">- Report section 1: score and rating colours now follow the rating thresholds on Scoring (simple) - green at the Healthy threshold (85+), yellow from the Needs attention threshold up to Healthy (50 to below 85, covering Needs attention and Good, with gaps), red below 50 (At risk). Any critical criterion answered 'No' shows red regardless of score. The colour key is generated from the thresholds.
- Report section 2: materiality colours reversed - 1 green, 2 yellow-green, 3 yellow, 4 orange, 5 red.</t>
  </si>
  <si>
    <t xml:space="preserve">Changes made at the product owner's direction, resolving the two issues raised in v1.30.</t>
  </si>
  <si>
    <t xml:space="preserve">No new sources.</t>
  </si>
  <si>
    <t xml:space="preserve">Colour rules read the thresholds from Scoring (simple), so changing a threshold there updates the colours and the key automatically.</t>
  </si>
  <si>
    <t xml:space="preserve">- Three colours cover four ratings: green = Healthy; yellow = Good, with gaps and Needs attention; red = At risk or any critical failure.
- A score capped by a critical failure (60 or below) now shows red, consistent with the critical-failure rule.</t>
  </si>
  <si>
    <t xml:space="preserve">Unchanged. Critical failures now also drive the red colour on the report.</t>
  </si>
  <si>
    <t xml:space="preserve">Unchanged: 19 questions.</t>
  </si>
  <si>
    <t xml:space="preserve">No new links.</t>
  </si>
  <si>
    <t xml:space="preserve">- Yellow spans two ratings; if a finer distinction is wanted, an amber shade could separate Needs attention from Good, with gaps.
- All earlier limitations still apply, except the v1.30 colour-band and materiality-colour points, which are resolved.</t>
  </si>
  <si>
    <t xml:space="preserve">- All earlier review triggers still apply.</t>
  </si>
  <si>
    <t xml:space="preserve">v1.50</t>
  </si>
  <si>
    <t xml:space="preserve">Adds an amber shade so each of the four ratings has its own colour on the report.</t>
  </si>
  <si>
    <t xml:space="preserve">- Report section 1: green 85+ (Healthy), yellow 70 to below 85 (Good, with gaps), amber 50 to below 70 (Needs attention), red below 50 (At risk) or any critical failure. All bands read the thresholds on Scoring (simple); the colour key is generated from them.</t>
  </si>
  <si>
    <t xml:space="preserve">Change made at the product owner's direction.</t>
  </si>
  <si>
    <t xml:space="preserve">One colour per rating band; a critical failure still overrides to red.</t>
  </si>
  <si>
    <t xml:space="preserve">- The v1.40 limitation about yellow spanning two ratings is resolved.
- All other earlier limitations still apply.</t>
  </si>
  <si>
    <t xml:space="preserve">v1.51</t>
  </si>
  <si>
    <t xml:space="preserve">Formatting fix to the materiality colour key on the report.</t>
  </si>
  <si>
    <t xml:space="preserve">- Report section 2 colour key (cell F13) now reads colour first, then rating, capitalised to match the UX health score key: Green 1 | Yellow-green 2 | Yellow 3 | Orange 4 | Red 5.</t>
  </si>
  <si>
    <t xml:space="preserve">All earlier limitations still apply.</t>
  </si>
  <si>
    <t xml:space="preserve">All earlier review triggers still apply.</t>
  </si>
</sst>
</file>

<file path=xl/styles.xml><?xml version="1.0" encoding="utf-8"?>
<styleSheet xmlns="http://schemas.openxmlformats.org/spreadsheetml/2006/main">
  <numFmts count="7">
    <numFmt numFmtId="164" formatCode="General"/>
    <numFmt numFmtId="165" formatCode="0.0"/>
    <numFmt numFmtId="166" formatCode="General"/>
    <numFmt numFmtId="167" formatCode="0.00"/>
    <numFmt numFmtId="168" formatCode="0%"/>
    <numFmt numFmtId="169" formatCode="0"/>
    <numFmt numFmtId="170" formatCode="@"/>
  </numFmts>
  <fonts count="16">
    <font>
      <sz val="11"/>
      <color theme="1"/>
      <name val="Calibri"/>
      <family val="2"/>
      <charset val="1"/>
    </font>
    <font>
      <sz val="10"/>
      <name val="Arial"/>
      <family val="0"/>
    </font>
    <font>
      <sz val="10"/>
      <name val="Arial"/>
      <family val="0"/>
    </font>
    <font>
      <sz val="10"/>
      <name val="Arial"/>
      <family val="0"/>
    </font>
    <font>
      <b val="true"/>
      <sz val="16"/>
      <color rgb="FF1F4E5A"/>
      <name val="Arial"/>
      <family val="0"/>
      <charset val="1"/>
    </font>
    <font>
      <i val="true"/>
      <sz val="10"/>
      <name val="Arial"/>
      <family val="0"/>
      <charset val="1"/>
    </font>
    <font>
      <b val="true"/>
      <sz val="12"/>
      <color rgb="FF1F4E5A"/>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u val="single"/>
      <sz val="10"/>
      <color rgb="FF0563C1"/>
      <name val="Arial"/>
      <family val="0"/>
      <charset val="1"/>
    </font>
    <font>
      <i val="true"/>
      <sz val="9"/>
      <name val="Arial"/>
      <family val="0"/>
      <charset val="1"/>
    </font>
    <font>
      <b val="true"/>
      <sz val="10"/>
      <color rgb="FFC00000"/>
      <name val="Arial"/>
      <family val="0"/>
      <charset val="1"/>
    </font>
    <font>
      <sz val="8"/>
      <color rgb="FF808080"/>
      <name val="Arial"/>
      <family val="0"/>
      <charset val="1"/>
    </font>
    <font>
      <b val="true"/>
      <sz val="14"/>
      <name val="Arial"/>
      <family val="0"/>
      <charset val="1"/>
    </font>
  </fonts>
  <fills count="5">
    <fill>
      <patternFill patternType="none"/>
    </fill>
    <fill>
      <patternFill patternType="gray125"/>
    </fill>
    <fill>
      <patternFill patternType="solid">
        <fgColor rgb="FFFFF2CC"/>
        <bgColor rgb="FFEDEDED"/>
      </patternFill>
    </fill>
    <fill>
      <patternFill patternType="solid">
        <fgColor rgb="FFEDEDED"/>
        <bgColor rgb="FFFFF2CC"/>
      </patternFill>
    </fill>
    <fill>
      <patternFill patternType="solid">
        <fgColor rgb="FF1F4E5A"/>
        <bgColor rgb="FF00336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8" fillId="3" borderId="1" xfId="0" applyFont="true" applyBorder="true" applyAlignment="true" applyProtection="false">
      <alignment horizontal="general" vertical="top" textRotation="0" wrapText="true" indent="0" shrinkToFit="false"/>
      <protection locked="true" hidden="false"/>
    </xf>
    <xf numFmtId="169" fontId="7" fillId="3" borderId="1" xfId="0" applyFont="true" applyBorder="true" applyAlignment="true" applyProtection="false">
      <alignment horizontal="general" vertical="top" textRotation="0" wrapText="true" indent="0" shrinkToFit="false"/>
      <protection locked="true" hidden="false"/>
    </xf>
    <xf numFmtId="170" fontId="7" fillId="3" borderId="1" xfId="0" applyFont="true" applyBorder="true" applyAlignment="true" applyProtection="false">
      <alignment horizontal="general" vertical="top" textRotation="0" wrapText="true" indent="0" shrinkToFit="false"/>
      <protection locked="true" hidden="false"/>
    </xf>
    <xf numFmtId="170" fontId="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5" fillId="3" borderId="1" xfId="0" applyFont="true" applyBorder="true" applyAlignment="true" applyProtection="false">
      <alignment horizontal="general" vertical="top" textRotation="0" wrapText="true" indent="0" shrinkToFit="false"/>
      <protection locked="true" hidden="false"/>
    </xf>
    <xf numFmtId="170" fontId="15" fillId="3" borderId="1" xfId="0" applyFont="true" applyBorder="true" applyAlignment="true" applyProtection="false">
      <alignment horizontal="general" vertical="top" textRotation="0" wrapText="true" indent="0" shrinkToFit="false"/>
      <protection locked="true" hidden="false"/>
    </xf>
    <xf numFmtId="170" fontId="8" fillId="3" borderId="2"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bgColor rgb="FFF8CBAD"/>
        </patternFill>
      </fill>
    </dxf>
    <dxf>
      <fill>
        <patternFill>
          <bgColor rgb="FFFFE699"/>
        </patternFill>
      </fill>
    </dxf>
    <dxf>
      <fill>
        <patternFill>
          <bgColor rgb="FFC6EFCE"/>
        </patternFill>
      </fill>
    </dxf>
    <dxf>
      <font>
        <name val="Arial"/>
        <charset val="1"/>
        <family val="0"/>
        <b val="1"/>
        <color rgb="FFC00000"/>
      </font>
    </dxf>
    <dxf>
      <fill>
        <patternFill patternType="solid">
          <fgColor rgb="FFEDEDED"/>
          <bgColor rgb="FF000000"/>
        </patternFill>
      </fill>
    </dxf>
    <dxf>
      <fill>
        <patternFill>
          <bgColor rgb="FFFFC7CE"/>
        </patternFill>
      </fill>
    </dxf>
    <dxf>
      <fill>
        <patternFill>
          <bgColor rgb="FFC6EFCE"/>
        </patternFill>
      </fill>
    </dxf>
    <dxf>
      <fill>
        <patternFill>
          <bgColor rgb="FFFFEB9C"/>
        </patternFill>
      </fill>
    </dxf>
    <dxf>
      <fill>
        <patternFill>
          <bgColor rgb="FFFFD27F"/>
        </patternFill>
      </fill>
    </dxf>
    <dxf>
      <fill>
        <patternFill>
          <bgColor rgb="FFD8E4BC"/>
        </patternFill>
      </fill>
    </dxf>
    <dxf>
      <fill>
        <patternFill>
          <bgColor rgb="FFFCD5B4"/>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D8E4BC"/>
      <rgbColor rgb="FF000080"/>
      <rgbColor rgb="FFFF00FF"/>
      <rgbColor rgb="FFFFFF00"/>
      <rgbColor rgb="FF00FFFF"/>
      <rgbColor rgb="FF800080"/>
      <rgbColor rgb="FF800000"/>
      <rgbColor rgb="FF008080"/>
      <rgbColor rgb="FF0000FF"/>
      <rgbColor rgb="FF00CCFF"/>
      <rgbColor rgb="FFFFE699"/>
      <rgbColor rgb="FFC6EFCE"/>
      <rgbColor rgb="FFFFEB9C"/>
      <rgbColor rgb="FF99CCFF"/>
      <rgbColor rgb="FFFFC7CE"/>
      <rgbColor rgb="FFFCD5B4"/>
      <rgbColor rgb="FFF8CBAD"/>
      <rgbColor rgb="FF3366FF"/>
      <rgbColor rgb="FF33CCCC"/>
      <rgbColor rgb="FF99CC00"/>
      <rgbColor rgb="FFFFD27F"/>
      <rgbColor rgb="FFFF9900"/>
      <rgbColor rgb="FFFF6600"/>
      <rgbColor rgb="FF666699"/>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digital.govt.nz/standards-and-guidance/nz-government-web-standards/web-accessibility-standard-1-2" TargetMode="External"/><Relationship Id="rId2" Type="http://schemas.openxmlformats.org/officeDocument/2006/relationships/hyperlink" Target="https://www.w3.org/WAI/test-evaluate/conformance/wcag-em/" TargetMode="External"/><Relationship Id="rId3" Type="http://schemas.openxmlformats.org/officeDocument/2006/relationships/hyperlink" Target="https://www.w3.org/WAI/WCAG22/quickref/" TargetMode="External"/><Relationship Id="rId4" Type="http://schemas.openxmlformats.org/officeDocument/2006/relationships/hyperlink" Target="https://www.w3.org/WAI/WCAG22/quickref/" TargetMode="External"/><Relationship Id="rId5" Type="http://schemas.openxmlformats.org/officeDocument/2006/relationships/hyperlink" Target="https://www.w3.org/WAI/WCAG22/quickref/" TargetMode="External"/><Relationship Id="rId6" Type="http://schemas.openxmlformats.org/officeDocument/2006/relationships/hyperlink" Target="https://www.w3.org/WAI/WCAG22/quickref/" TargetMode="External"/><Relationship Id="rId7" Type="http://schemas.openxmlformats.org/officeDocument/2006/relationships/hyperlink" Target="https://www.w3.org/WAI/WCAG22/quickref/" TargetMode="External"/><Relationship Id="rId8" Type="http://schemas.openxmlformats.org/officeDocument/2006/relationships/hyperlink" Target="https://www.w3.org/WAI/WCAG22/quickref/" TargetMode="External"/><Relationship Id="rId9" Type="http://schemas.openxmlformats.org/officeDocument/2006/relationships/hyperlink" Target="https://www.w3.org/WAI/WCAG22/quickref/" TargetMode="External"/><Relationship Id="rId10" Type="http://schemas.openxmlformats.org/officeDocument/2006/relationships/hyperlink" Target="https://www.w3.org/WAI/WCAG22/quickref/" TargetMode="External"/><Relationship Id="rId11" Type="http://schemas.openxmlformats.org/officeDocument/2006/relationships/hyperlink" Target="https://www.w3.org/WAI/WCAG22/quickref/" TargetMode="External"/><Relationship Id="rId12" Type="http://schemas.openxmlformats.org/officeDocument/2006/relationships/hyperlink" Target="https://www.w3.org/WAI/WCAG22/quickref/" TargetMode="External"/><Relationship Id="rId13" Type="http://schemas.openxmlformats.org/officeDocument/2006/relationships/hyperlink" Target="https://www.digital.govt.nz/standards-and-guidance/nz-government-web-standards/digital-accessibility-standard" TargetMode="External"/><Relationship Id="rId14" Type="http://schemas.openxmlformats.org/officeDocument/2006/relationships/hyperlink" Target="https://github.com/GOVTNZ/cwac" TargetMode="External"/><Relationship Id="rId15" Type="http://schemas.openxmlformats.org/officeDocument/2006/relationships/hyperlink" Target="https://www.digital.govt.nz/standards-and-guidance/nz-government-web-standards/web-accessibility-standard-1-2" TargetMode="External"/><Relationship Id="rId16" Type="http://schemas.openxmlformats.org/officeDocument/2006/relationships/hyperlink" Target="https://www.gov.uk/service-manual/design/making-your-service-more-inclusive" TargetMode="External"/><Relationship Id="rId17" Type="http://schemas.openxmlformats.org/officeDocument/2006/relationships/hyperlink" Target="https://www.w3.org/TR/maturity-model/" TargetMode="External"/><Relationship Id="rId18" Type="http://schemas.openxmlformats.org/officeDocument/2006/relationships/hyperlink" Target="https://www.gov.uk/service-manual/technology/working-with-mobile-technology" TargetMode="External"/><Relationship Id="rId19" Type="http://schemas.openxmlformats.org/officeDocument/2006/relationships/hyperlink" Target="https://www.gov.uk/service-manual/service-standard/point-1-understand-user-needs" TargetMode="External"/><Relationship Id="rId20" Type="http://schemas.openxmlformats.org/officeDocument/2006/relationships/hyperlink" Target="https://www.gov.uk/service-manual/service-standard/point-4-make-the-service-simple-to-use" TargetMode="External"/><Relationship Id="rId21" Type="http://schemas.openxmlformats.org/officeDocument/2006/relationships/hyperlink" Target="https://www.nngroup.com/articles/how-to-conduct-a-heuristic-evaluation/" TargetMode="External"/><Relationship Id="rId22" Type="http://schemas.openxmlformats.org/officeDocument/2006/relationships/hyperlink" Target="https://www.nngroup.com/articles/ten-usability-heuristics/" TargetMode="External"/><Relationship Id="rId23" Type="http://schemas.openxmlformats.org/officeDocument/2006/relationships/hyperlink" Target="https://www.nngroup.com/articles/ten-usability-heuristics/" TargetMode="External"/><Relationship Id="rId24" Type="http://schemas.openxmlformats.org/officeDocument/2006/relationships/hyperlink" Target="https://www.nngroup.com/articles/ten-usability-heuristics/" TargetMode="External"/><Relationship Id="rId25" Type="http://schemas.openxmlformats.org/officeDocument/2006/relationships/hyperlink" Target="https://www.gov.uk/service-manual/service-standard/point-13-use-common-standards-components-patterns" TargetMode="External"/><Relationship Id="rId26" Type="http://schemas.openxmlformats.org/officeDocument/2006/relationships/hyperlink" Target="https://www.gov.uk/service-manual/service-standard/point-2-solve-a-whole-problem" TargetMode="External"/><Relationship Id="rId27" Type="http://schemas.openxmlformats.org/officeDocument/2006/relationships/hyperlink" Target="https://web.dev/articles/vitals" TargetMode="External"/><Relationship Id="rId28" Type="http://schemas.openxmlformats.org/officeDocument/2006/relationships/hyperlink" Target="https://www.gov.uk/service-manual/technology/designing-for-different-browsers-and-devices" TargetMode="External"/><Relationship Id="rId29" Type="http://schemas.openxmlformats.org/officeDocument/2006/relationships/hyperlink" Target="https://www.legislation.govt.nz/act/public/2020/31/en/latest/" TargetMode="External"/><Relationship Id="rId30" Type="http://schemas.openxmlformats.org/officeDocument/2006/relationships/hyperlink" Target="https://www.legislation.govt.nz/act/public/2022/0054/latest/whole.html" TargetMode="External"/><Relationship Id="rId31" Type="http://schemas.openxmlformats.org/officeDocument/2006/relationships/hyperlink" Target="https://www.whitehouse.gov/wp-content/uploads/2023/09/M-23-22-Delivering-a-Digital-First-Public-Experience.pdf" TargetMode="External"/><Relationship Id="rId32" Type="http://schemas.openxmlformats.org/officeDocument/2006/relationships/hyperlink" Target="https://www.w3.org/WAI/WCAG22/quickref/" TargetMode="External"/><Relationship Id="rId33" Type="http://schemas.openxmlformats.org/officeDocument/2006/relationships/hyperlink" Target="https://www.legislation.govt.nz/act/public/2016/0017/latest/DLM6174566.html" TargetMode="External"/><Relationship Id="rId34" Type="http://schemas.openxmlformats.org/officeDocument/2006/relationships/hyperlink" Target="https://www.msd.govt.nz/about-msd-and-our-work/work-programmes/accessibility/accessibility-charter/the-charter.html" TargetMode="External"/><Relationship Id="rId35" Type="http://schemas.openxmlformats.org/officeDocument/2006/relationships/hyperlink" Target="https://www.digital.govt.nz/standards-and-guidance/digital-service-design-standard/principles" TargetMode="External"/><Relationship Id="rId36" Type="http://schemas.openxmlformats.org/officeDocument/2006/relationships/hyperlink" Target="https://www.digital.govt.nz/standards-and-guidance/design-and-ux/usability/nz-government-logo-markup" TargetMode="External"/><Relationship Id="rId37" Type="http://schemas.openxmlformats.org/officeDocument/2006/relationships/hyperlink" Target="https://www.w3.org/WAI/WCAG22/quickref/" TargetMode="External"/><Relationship Id="rId38" Type="http://schemas.openxmlformats.org/officeDocument/2006/relationships/hyperlink" Target="https://www.nngroup.com/articles/ten-usability-heuristics/" TargetMode="External"/><Relationship Id="rId39" Type="http://schemas.openxmlformats.org/officeDocument/2006/relationships/hyperlink" Target="https://www.digital.govt.nz/standards-and-guidance/technology-and-architecture/domain-names" TargetMode="External"/><Relationship Id="rId40" Type="http://schemas.openxmlformats.org/officeDocument/2006/relationships/hyperlink" Target="https://www.digital.govt.nz/standards-and-guidance/technology-and-architecture/domain-names" TargetMode="External"/><Relationship Id="rId41" Type="http://schemas.openxmlformats.org/officeDocument/2006/relationships/hyperlink" Target="https://www.ncsc.govt.nz/nzism/" TargetMode="External"/><Relationship Id="rId42" Type="http://schemas.openxmlformats.org/officeDocument/2006/relationships/hyperlink" Target="https://owasp.org/projects/asvs" TargetMode="External"/><Relationship Id="rId43" Type="http://schemas.openxmlformats.org/officeDocument/2006/relationships/hyperlink" Target="https://www.ncsc.govt.nz/nzism/" TargetMode="External"/><Relationship Id="rId44" Type="http://schemas.openxmlformats.org/officeDocument/2006/relationships/hyperlink" Target="https://developer.mozilla.org/en-US/observatory" TargetMode="External"/><Relationship Id="rId45" Type="http://schemas.openxmlformats.org/officeDocument/2006/relationships/hyperlink" Target="https://www.digital.govt.nz/standards-and-guidance/identity/identification-management/identification-standards" TargetMode="External"/><Relationship Id="rId46" Type="http://schemas.openxmlformats.org/officeDocument/2006/relationships/hyperlink" Target="https://www.privacy.org.nz/responsibilities/privacy-impact-assessments/" TargetMode="External"/><Relationship Id="rId47" Type="http://schemas.openxmlformats.org/officeDocument/2006/relationships/hyperlink" Target="https://www.digital.govt.nz/standards-and-guidance/nz-government-web-standards/web-usability-standard-1-4" TargetMode="External"/><Relationship Id="rId48" Type="http://schemas.openxmlformats.org/officeDocument/2006/relationships/hyperlink" Target="https://www.legislation.govt.nz/act/public/2020/31/en/latest/" TargetMode="External"/><Relationship Id="rId49" Type="http://schemas.openxmlformats.org/officeDocument/2006/relationships/hyperlink" Target="https://owasp.org/projects/asvs" TargetMode="External"/><Relationship Id="rId50" Type="http://schemas.openxmlformats.org/officeDocument/2006/relationships/hyperlink" Target="https://owasp.org/projects/asvs" TargetMode="External"/><Relationship Id="rId51" Type="http://schemas.openxmlformats.org/officeDocument/2006/relationships/hyperlink" Target="https://www.digital.govt.nz/standards-and-guidance/technology-and-architecture/cloud-services/assess-the-risks" TargetMode="External"/><Relationship Id="rId52" Type="http://schemas.openxmlformats.org/officeDocument/2006/relationships/hyperlink" Target="https://www.digital.gov.au/policy/digital-experience/digital-performance-standard/dps-criterion-2-measure-availability-your-digital-service" TargetMode="External"/><Relationship Id="rId53" Type="http://schemas.openxmlformats.org/officeDocument/2006/relationships/hyperlink" Target="https://www.digital.gov.au/policy/digital-experience/digital-performance-standard/dps-criterion-1-implement-monitoring-framework" TargetMode="External"/><Relationship Id="rId54" Type="http://schemas.openxmlformats.org/officeDocument/2006/relationships/hyperlink" Target="https://sre.google/books/" TargetMode="External"/><Relationship Id="rId55" Type="http://schemas.openxmlformats.org/officeDocument/2006/relationships/hyperlink" Target="https://www.gov.uk/service-manual/service-standard/point-14-operate-a-reliable-service" TargetMode="External"/><Relationship Id="rId56" Type="http://schemas.openxmlformats.org/officeDocument/2006/relationships/hyperlink" Target="https://www.gov.uk/service-manual/service-standard/point-14-operate-a-reliable-service" TargetMode="External"/><Relationship Id="rId57" Type="http://schemas.openxmlformats.org/officeDocument/2006/relationships/hyperlink" Target="https://www.procurement.govt.nz/government-procurement-framework/" TargetMode="External"/><Relationship Id="rId58" Type="http://schemas.openxmlformats.org/officeDocument/2006/relationships/hyperlink" Target="https://sre.google/books/" TargetMode="External"/><Relationship Id="rId59" Type="http://schemas.openxmlformats.org/officeDocument/2006/relationships/hyperlink" Target="https://www.ncsc.govt.nz/nzism/" TargetMode="External"/><Relationship Id="rId60" Type="http://schemas.openxmlformats.org/officeDocument/2006/relationships/hyperlink" Target="https://sre.google/books/" TargetMode="External"/><Relationship Id="rId61" Type="http://schemas.openxmlformats.org/officeDocument/2006/relationships/hyperlink" Target="https://dora.dev/guides/dora-metrics/" TargetMode="External"/><Relationship Id="rId62" Type="http://schemas.openxmlformats.org/officeDocument/2006/relationships/hyperlink" Target="https://www.digital.gov.au/policy/digital-experience/digital-performance-standard" TargetMode="External"/><Relationship Id="rId63" Type="http://schemas.openxmlformats.org/officeDocument/2006/relationships/hyperlink" Target="https://www.digital.govt.nz/standards-and-guidance/nz-government-web-standards/web-usability-standard-1-4" TargetMode="External"/><Relationship Id="rId64" Type="http://schemas.openxmlformats.org/officeDocument/2006/relationships/hyperlink" Target="https://www.nngroup.com/articles/help-and-documentation/" TargetMode="External"/><Relationship Id="rId65" Type="http://schemas.openxmlformats.org/officeDocument/2006/relationships/hyperlink" Target="https://www.digital.govt.nz/standards-and-guidance/nz-government-web-standards/digital-accessibility-standard" TargetMode="External"/><Relationship Id="rId66" Type="http://schemas.openxmlformats.org/officeDocument/2006/relationships/hyperlink" Target="https://www.digital.gov.au/policy/digital-experience/digital-performance-standard" TargetMode="External"/><Relationship Id="rId67" Type="http://schemas.openxmlformats.org/officeDocument/2006/relationships/hyperlink" Target="https://www.gov.uk/service-manual/service-standard/point-3-join-up-across-channels" TargetMode="External"/><Relationship Id="rId68" Type="http://schemas.openxmlformats.org/officeDocument/2006/relationships/hyperlink" Target="https://www.ombudsman.parliament.nz/resources/effective-complaint-handling" TargetMode="External"/><Relationship Id="rId69" Type="http://schemas.openxmlformats.org/officeDocument/2006/relationships/hyperlink" Target="https://www.data.govt.nz/manage-data/policies/nzgoal" TargetMode="External"/><Relationship Id="rId70" Type="http://schemas.openxmlformats.org/officeDocument/2006/relationships/hyperlink" Target="https://archives.govt.nz/manage-information/how-to-manage-your-information/key-obligations-and-the-standard/information-and-records-management-standard" TargetMode="External"/><Relationship Id="rId71" Type="http://schemas.openxmlformats.org/officeDocument/2006/relationships/hyperlink" Target="https://www.legislation.govt.nz/act/public/1982/156/en/latest/" TargetMode="External"/><Relationship Id="rId72" Type="http://schemas.openxmlformats.org/officeDocument/2006/relationships/hyperlink" Target="https://www.legislation.govt.nz/act/public/1993/82/en/latest/" TargetMode="External"/><Relationship Id="rId73" Type="http://schemas.openxmlformats.org/officeDocument/2006/relationships/hyperlink" Target="https://data.govt.nz/algorithm-charter/" TargetMode="External"/><Relationship Id="rId74" Type="http://schemas.openxmlformats.org/officeDocument/2006/relationships/hyperlink" Target="https://www.legislation.govt.nz/act/public/2020/0040/latest/LMS356875.html" TargetMode="External"/><Relationship Id="rId75" Type="http://schemas.openxmlformats.org/officeDocument/2006/relationships/hyperlink" Target="https://www.buddlefindlay.com/insights/resource-management-reform-an-overview-of-the-planning-act-and-natural-environment-act/" TargetMode="External"/><Relationship Id="rId76" Type="http://schemas.openxmlformats.org/officeDocument/2006/relationships/hyperlink" Target="https://www.gov.uk/service-manual/service-standard/point-6-have-a-multidisciplinary-team" TargetMode="External"/><Relationship Id="rId77" Type="http://schemas.openxmlformats.org/officeDocument/2006/relationships/hyperlink" Target="https://www.whitehouse.gov/wp-content/uploads/2023/09/M-23-22-Delivering-a-Digital-First-Public-Experience.pdf" TargetMode="External"/><Relationship Id="rId78" Type="http://schemas.openxmlformats.org/officeDocument/2006/relationships/hyperlink" Target="https://www.w3.org/WAI/standards-guidelines/atag/" TargetMode="External"/><Relationship Id="rId79" Type="http://schemas.openxmlformats.org/officeDocument/2006/relationships/hyperlink" Target="https://www.w3.org/WAI/standards-guidelines/atag/" TargetMode="External"/><Relationship Id="rId80" Type="http://schemas.openxmlformats.org/officeDocument/2006/relationships/hyperlink" Target="https://www.digital.govt.nz/standards-and-guidance/digital-service-design-standard/principles" TargetMode="External"/><Relationship Id="rId81" Type="http://schemas.openxmlformats.org/officeDocument/2006/relationships/hyperlink" Target="https://www.whitehouse.gov/wp-content/uploads/2023/09/M-23-22-Delivering-a-Digital-First-Public-Experience.pdf" TargetMode="External"/><Relationship Id="rId82" Type="http://schemas.openxmlformats.org/officeDocument/2006/relationships/hyperlink" Target="https://www.gov.uk/service-manual/service-standard/point-6-have-a-multidisciplinary-team" TargetMode="External"/><Relationship Id="rId83" Type="http://schemas.openxmlformats.org/officeDocument/2006/relationships/hyperlink" Target="https://www.gov.uk/service-manual/service-standard/point-10-define-success-publish-performance-data" TargetMode="External"/><Relationship Id="rId84" Type="http://schemas.openxmlformats.org/officeDocument/2006/relationships/hyperlink" Target="https://www.legislation.govt.nz/act/public/2020/31/en/latest/" TargetMode="External"/><Relationship Id="rId85" Type="http://schemas.openxmlformats.org/officeDocument/2006/relationships/hyperlink" Target="https://verdi.cs.ucl.ac.uk/constructDB/publications/brooke-susa-1996.html" TargetMode="External"/><Relationship Id="rId86" Type="http://schemas.openxmlformats.org/officeDocument/2006/relationships/hyperlink" Target="https://www.gov.uk/service-manual/service-standard" TargetMode="External"/><Relationship Id="rId87" Type="http://schemas.openxmlformats.org/officeDocument/2006/relationships/hyperlink" Target="https://www.digital.gov.au/policy/digital-experience/digital-performance-standard" TargetMode="External"/><Relationship Id="rId88" Type="http://schemas.openxmlformats.org/officeDocument/2006/relationships/hyperlink" Target="https://www.gov.uk/service-manual/service-standard" TargetMode="External"/><Relationship Id="rId89"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hyperlink" Target="https://www.digital.govt.nz/standards-and-guidance/nz-government-web-standards/web-accessibility-standard-1-2" TargetMode="External"/><Relationship Id="rId2" Type="http://schemas.openxmlformats.org/officeDocument/2006/relationships/hyperlink" Target="https://www.digital.govt.nz/standards-and-guidance/nz-government-web-standards/web-usability-standard-1-4" TargetMode="External"/><Relationship Id="rId3" Type="http://schemas.openxmlformats.org/officeDocument/2006/relationships/hyperlink" Target="https://www.digital.govt.nz/standards-and-guidance/design-and-ux/usability/nz-government-logo-markup" TargetMode="External"/><Relationship Id="rId4" Type="http://schemas.openxmlformats.org/officeDocument/2006/relationships/hyperlink" Target="https://www.digital.govt.nz/standards-and-guidance/nz-government-web-standards/digital-accessibility-standard" TargetMode="External"/><Relationship Id="rId5" Type="http://schemas.openxmlformats.org/officeDocument/2006/relationships/hyperlink" Target="https://www.digital.govt.nz/assets/Standards-guidance/NZ-government-web-standards/DAS/Digital-Accessibility-Standard-DAS-Large-print.pdf" TargetMode="External"/><Relationship Id="rId6" Type="http://schemas.openxmlformats.org/officeDocument/2006/relationships/hyperlink" Target="https://github.com/GOVTNZ/cwac" TargetMode="External"/><Relationship Id="rId7" Type="http://schemas.openxmlformats.org/officeDocument/2006/relationships/hyperlink" Target="https://www.digital.govt.nz/standards-and-guidance/digital-service-design-standard" TargetMode="External"/><Relationship Id="rId8" Type="http://schemas.openxmlformats.org/officeDocument/2006/relationships/hyperlink" Target="https://www.w3.org/TR/WCAG22/" TargetMode="External"/><Relationship Id="rId9" Type="http://schemas.openxmlformats.org/officeDocument/2006/relationships/hyperlink" Target="https://www.w3.org/TR/wcag-3.0/" TargetMode="External"/><Relationship Id="rId10" Type="http://schemas.openxmlformats.org/officeDocument/2006/relationships/hyperlink" Target="https://www.w3.org/WAI/test-evaluate/conformance/wcag-em/" TargetMode="External"/><Relationship Id="rId11" Type="http://schemas.openxmlformats.org/officeDocument/2006/relationships/hyperlink" Target="https://www.w3.org/TR/maturity-model/" TargetMode="External"/><Relationship Id="rId12" Type="http://schemas.openxmlformats.org/officeDocument/2006/relationships/hyperlink" Target="https://www.w3.org/TR/ATAG20/" TargetMode="External"/><Relationship Id="rId13" Type="http://schemas.openxmlformats.org/officeDocument/2006/relationships/hyperlink" Target="https://www.etsi.org/deliver/etsi_en/301500_301599/301549/04.01.01_60/en_301549v040101p.pdf" TargetMode="External"/><Relationship Id="rId14" Type="http://schemas.openxmlformats.org/officeDocument/2006/relationships/hyperlink" Target="https://www.gov.uk/service-manual/service-standard" TargetMode="External"/><Relationship Id="rId15" Type="http://schemas.openxmlformats.org/officeDocument/2006/relationships/hyperlink" Target="https://www.gov.uk/service-manual/technology/designing-for-different-browsers-and-devices" TargetMode="External"/><Relationship Id="rId16" Type="http://schemas.openxmlformats.org/officeDocument/2006/relationships/hyperlink" Target="https://www.digital.gov.au/policy/digital-experience/digital-service-standard" TargetMode="External"/><Relationship Id="rId17" Type="http://schemas.openxmlformats.org/officeDocument/2006/relationships/hyperlink" Target="https://www.digital.gov.au/policy/digital-experience/digital-performance-standard" TargetMode="External"/><Relationship Id="rId18" Type="http://schemas.openxmlformats.org/officeDocument/2006/relationships/hyperlink" Target="https://www.whitehouse.gov/wp-content/uploads/2023/09/M-23-22-Delivering-a-Digital-First-Public-Experience.pdf" TargetMode="External"/><Relationship Id="rId19" Type="http://schemas.openxmlformats.org/officeDocument/2006/relationships/hyperlink" Target="https://owasp.org/projects/asvs" TargetMode="External"/><Relationship Id="rId20" Type="http://schemas.openxmlformats.org/officeDocument/2006/relationships/hyperlink" Target="https://www.ncsc.govt.nz/nzism/" TargetMode="External"/><Relationship Id="rId21" Type="http://schemas.openxmlformats.org/officeDocument/2006/relationships/hyperlink" Target="https://www.ncsc.govt.nz/protect-your-organisation/psr-annual-self-assessment/" TargetMode="External"/><Relationship Id="rId22" Type="http://schemas.openxmlformats.org/officeDocument/2006/relationships/hyperlink" Target="https://www.digital.govt.nz/standards-and-guidance/identity/identification-management/identification-standards" TargetMode="External"/><Relationship Id="rId23" Type="http://schemas.openxmlformats.org/officeDocument/2006/relationships/hyperlink" Target="https://www.realme.govt.nz/en-nz/" TargetMode="External"/><Relationship Id="rId24" Type="http://schemas.openxmlformats.org/officeDocument/2006/relationships/hyperlink" Target="https://www.legislation.govt.nz/act/public/2020/31/en/latest/" TargetMode="External"/><Relationship Id="rId25" Type="http://schemas.openxmlformats.org/officeDocument/2006/relationships/hyperlink" Target="https://www.privacy.org.nz/responsibilities/privacy-impact-assessments/" TargetMode="External"/><Relationship Id="rId26" Type="http://schemas.openxmlformats.org/officeDocument/2006/relationships/hyperlink" Target="https://www.legislation.govt.nz/act/public/2022/0054/latest/whole.html" TargetMode="External"/><Relationship Id="rId27" Type="http://schemas.openxmlformats.org/officeDocument/2006/relationships/hyperlink" Target="https://www.legislation.govt.nz/bill/government/2025/132/en/latest/" TargetMode="External"/><Relationship Id="rId28" Type="http://schemas.openxmlformats.org/officeDocument/2006/relationships/hyperlink" Target="https://www.legislation.govt.nz/act/public/2005/0040/latest/whole.html" TargetMode="External"/><Relationship Id="rId29" Type="http://schemas.openxmlformats.org/officeDocument/2006/relationships/hyperlink" Target="https://archives.govt.nz/manage-information/how-to-manage-your-information/key-obligations-and-the-standard/information-and-records-management-standard" TargetMode="External"/><Relationship Id="rId30" Type="http://schemas.openxmlformats.org/officeDocument/2006/relationships/hyperlink" Target="https://www.legislation.govt.nz/act/public/1982/156/en/latest/" TargetMode="External"/><Relationship Id="rId31" Type="http://schemas.openxmlformats.org/officeDocument/2006/relationships/hyperlink" Target="https://www.legislation.govt.nz/act/public/1993/82/en/latest/" TargetMode="External"/><Relationship Id="rId32" Type="http://schemas.openxmlformats.org/officeDocument/2006/relationships/hyperlink" Target="https://legislation.govt.nz/act/public/1990/109/en/latest/" TargetMode="External"/><Relationship Id="rId33" Type="http://schemas.openxmlformats.org/officeDocument/2006/relationships/hyperlink" Target="https://www.legislation.govt.nz/act/public/2020/0040/latest/LMS356875.html" TargetMode="External"/><Relationship Id="rId34" Type="http://schemas.openxmlformats.org/officeDocument/2006/relationships/hyperlink" Target="https://www.legislation.govt.nz/act/public/2016/0017/latest/DLM6174566.html" TargetMode="External"/><Relationship Id="rId35" Type="http://schemas.openxmlformats.org/officeDocument/2006/relationships/hyperlink" Target="https://data.govt.nz/algorithm-charter/" TargetMode="External"/><Relationship Id="rId36" Type="http://schemas.openxmlformats.org/officeDocument/2006/relationships/hyperlink" Target="https://standards.digital.govt.nz/nz/generative-ai-guidance-gcdo/public-service-ai-framework/2025/en/" TargetMode="External"/><Relationship Id="rId37" Type="http://schemas.openxmlformats.org/officeDocument/2006/relationships/hyperlink" Target="https://www.data.govt.nz/manage-data/policies/nzgoal" TargetMode="External"/><Relationship Id="rId38" Type="http://schemas.openxmlformats.org/officeDocument/2006/relationships/hyperlink" Target="https://www.msd.govt.nz/about-msd-and-our-work/work-programmes/accessibility/accessibility-charter/the-charter.html" TargetMode="External"/><Relationship Id="rId39" Type="http://schemas.openxmlformats.org/officeDocument/2006/relationships/hyperlink" Target="https://www.digital.govt.nz/standards-and-guidance/technology-and-architecture/cloud-services/assess-the-risks" TargetMode="External"/><Relationship Id="rId40" Type="http://schemas.openxmlformats.org/officeDocument/2006/relationships/hyperlink" Target="https://www.digital.govt.nz/standards-and-guidance/technology-and-architecture/domain-names" TargetMode="External"/><Relationship Id="rId41" Type="http://schemas.openxmlformats.org/officeDocument/2006/relationships/hyperlink" Target="https://www.ombudsman.parliament.nz/resources/effective-complaint-handling" TargetMode="External"/><Relationship Id="rId42" Type="http://schemas.openxmlformats.org/officeDocument/2006/relationships/hyperlink" Target="https://www.procurement.govt.nz/government-procurement-framework/" TargetMode="External"/><Relationship Id="rId43" Type="http://schemas.openxmlformats.org/officeDocument/2006/relationships/hyperlink" Target="https://www.nngroup.com/articles/ten-usability-heuristics/" TargetMode="External"/><Relationship Id="rId44" Type="http://schemas.openxmlformats.org/officeDocument/2006/relationships/hyperlink" Target="https://www.iso.org/standard/63500.html" TargetMode="External"/><Relationship Id="rId45" Type="http://schemas.openxmlformats.org/officeDocument/2006/relationships/hyperlink" Target="https://verdi.cs.ucl.ac.uk/constructDB/publications/brooke-susa-1996.html" TargetMode="External"/><Relationship Id="rId46" Type="http://schemas.openxmlformats.org/officeDocument/2006/relationships/hyperlink" Target="https://web.dev/articles/vitals" TargetMode="External"/><Relationship Id="rId47" Type="http://schemas.openxmlformats.org/officeDocument/2006/relationships/hyperlink" Target="https://developer.mozilla.org/en-US/observatory" TargetMode="External"/><Relationship Id="rId48" Type="http://schemas.openxmlformats.org/officeDocument/2006/relationships/hyperlink" Target="https://www.ssllabs.com/ssltest/" TargetMode="External"/><Relationship Id="rId49" Type="http://schemas.openxmlformats.org/officeDocument/2006/relationships/hyperlink" Target="https://github.com/dequelabs/axe-core" TargetMode="External"/><Relationship Id="rId50" Type="http://schemas.openxmlformats.org/officeDocument/2006/relationships/hyperlink" Target="https://sre.google/books/" TargetMode="External"/><Relationship Id="rId51" Type="http://schemas.openxmlformats.org/officeDocument/2006/relationships/hyperlink" Target="https://dora.dev/guides/dora-metrics/" TargetMode="External"/><Relationship Id="rId52" Type="http://schemas.openxmlformats.org/officeDocument/2006/relationships/hyperlink" Target="https://www.peoplecert.org/browse-certifications/it-governance-and-service-management/ITIL-1" TargetMode="External"/><Relationship Id="rId53" Type="http://schemas.openxmlformats.org/officeDocument/2006/relationships/hyperlink" Target="https://www.buddlefindlay.com/insights/resource-management-reform-an-overview-of-the-planning-act-and-natural-environment-act/" TargetMode="External"/><Relationship Id="rId54" Type="http://schemas.openxmlformats.org/officeDocument/2006/relationships/hyperlink" Target="https://insidegovernment.co.nz/?p=37222" TargetMode="External"/><Relationship Id="rId55"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5.05" hidden="false" customHeight="false" outlineLevel="0" collapsed="false">
      <c r="A5" s="4" t="s">
        <v>3</v>
      </c>
      <c r="B5" s="5" t="s">
        <v>4</v>
      </c>
    </row>
    <row r="6" customFormat="false" ht="23.85" hidden="false" customHeight="false" outlineLevel="0" collapsed="false">
      <c r="A6" s="4" t="s">
        <v>5</v>
      </c>
      <c r="B6" s="5" t="s">
        <v>6</v>
      </c>
    </row>
    <row r="7" customFormat="false" ht="23.85" hidden="false" customHeight="false" outlineLevel="0" collapsed="false">
      <c r="A7" s="4" t="s">
        <v>7</v>
      </c>
      <c r="B7" s="5" t="s">
        <v>8</v>
      </c>
    </row>
    <row r="9" customFormat="false" ht="15" hidden="false" customHeight="false" outlineLevel="0" collapsed="false">
      <c r="A9" s="3" t="s">
        <v>9</v>
      </c>
    </row>
    <row r="10" customFormat="false" ht="35.05" hidden="false" customHeight="false" outlineLevel="0" collapsed="false">
      <c r="A10" s="4" t="s">
        <v>10</v>
      </c>
      <c r="B10" s="5" t="s">
        <v>11</v>
      </c>
    </row>
    <row r="11" customFormat="false" ht="23.85" hidden="false" customHeight="false" outlineLevel="0" collapsed="false">
      <c r="A11" s="4" t="s">
        <v>12</v>
      </c>
      <c r="B11" s="5" t="s">
        <v>13</v>
      </c>
    </row>
    <row r="12" customFormat="false" ht="35.05" hidden="false" customHeight="false" outlineLevel="0" collapsed="false">
      <c r="A12" s="4" t="s">
        <v>14</v>
      </c>
      <c r="B12" s="5" t="s">
        <v>15</v>
      </c>
    </row>
    <row r="13" customFormat="false" ht="23.85" hidden="false" customHeight="false" outlineLevel="0" collapsed="false">
      <c r="A13" s="4" t="s">
        <v>16</v>
      </c>
      <c r="B13" s="5" t="s">
        <v>17</v>
      </c>
    </row>
    <row r="14" customFormat="false" ht="23.85" hidden="false" customHeight="false" outlineLevel="0" collapsed="false">
      <c r="A14" s="4" t="s">
        <v>18</v>
      </c>
      <c r="B14" s="5" t="s">
        <v>19</v>
      </c>
    </row>
    <row r="15" customFormat="false" ht="23.85" hidden="false" customHeight="false" outlineLevel="0" collapsed="false">
      <c r="A15" s="4" t="s">
        <v>20</v>
      </c>
      <c r="B15" s="5" t="s">
        <v>21</v>
      </c>
    </row>
    <row r="16" customFormat="false" ht="23.85" hidden="false" customHeight="false" outlineLevel="0" collapsed="false">
      <c r="A16" s="4" t="s">
        <v>22</v>
      </c>
      <c r="B16" s="5" t="s">
        <v>23</v>
      </c>
    </row>
    <row r="17" customFormat="false" ht="23.85" hidden="false" customHeight="false" outlineLevel="0" collapsed="false">
      <c r="A17" s="4" t="s">
        <v>24</v>
      </c>
      <c r="B17" s="5" t="s">
        <v>25</v>
      </c>
    </row>
    <row r="18" customFormat="false" ht="15" hidden="false" customHeight="false" outlineLevel="0" collapsed="false">
      <c r="A18" s="4" t="s">
        <v>26</v>
      </c>
      <c r="B18" s="5" t="s">
        <v>27</v>
      </c>
    </row>
    <row r="20" customFormat="false" ht="15" hidden="false" customHeight="false" outlineLevel="0" collapsed="false">
      <c r="A20" s="3" t="s">
        <v>28</v>
      </c>
    </row>
    <row r="21" customFormat="false" ht="15" hidden="false" customHeight="false" outlineLevel="0" collapsed="false">
      <c r="A21" s="6" t="s">
        <v>29</v>
      </c>
      <c r="B21" s="7" t="s">
        <v>30</v>
      </c>
    </row>
    <row r="22" customFormat="false" ht="15" hidden="false" customHeight="false" outlineLevel="0" collapsed="false">
      <c r="A22" s="8" t="s">
        <v>31</v>
      </c>
      <c r="B22" s="7" t="s">
        <v>32</v>
      </c>
    </row>
    <row r="23" customFormat="false" ht="23.85" hidden="false" customHeight="false" outlineLevel="0" collapsed="false">
      <c r="A23" s="4" t="s">
        <v>33</v>
      </c>
      <c r="B23" s="5" t="s">
        <v>34</v>
      </c>
    </row>
    <row r="24" customFormat="false" ht="23.85" hidden="false" customHeight="false" outlineLevel="0" collapsed="false">
      <c r="A24" s="4" t="s">
        <v>35</v>
      </c>
      <c r="B24" s="5" t="s">
        <v>36</v>
      </c>
    </row>
    <row r="26" customFormat="false" ht="15" hidden="false" customHeight="false" outlineLevel="0" collapsed="false">
      <c r="A26" s="3" t="s">
        <v>37</v>
      </c>
    </row>
    <row r="27" customFormat="false" ht="15" hidden="false" customHeight="false" outlineLevel="0" collapsed="false">
      <c r="A27" s="4" t="s">
        <v>38</v>
      </c>
      <c r="B27" s="5" t="s">
        <v>39</v>
      </c>
    </row>
    <row r="28" customFormat="false" ht="15" hidden="false" customHeight="false" outlineLevel="0" collapsed="false">
      <c r="A28" s="4" t="s">
        <v>40</v>
      </c>
      <c r="B28" s="5" t="s">
        <v>41</v>
      </c>
    </row>
    <row r="29" customFormat="false" ht="15" hidden="false" customHeight="false" outlineLevel="0" collapsed="false">
      <c r="A29" s="4" t="s">
        <v>42</v>
      </c>
      <c r="B29" s="5" t="s">
        <v>43</v>
      </c>
    </row>
    <row r="30" customFormat="false" ht="15" hidden="false" customHeight="false" outlineLevel="0" collapsed="false">
      <c r="A30" s="4" t="s">
        <v>44</v>
      </c>
      <c r="B30" s="5" t="s">
        <v>45</v>
      </c>
    </row>
    <row r="31" customFormat="false" ht="15" hidden="false" customHeight="false" outlineLevel="0" collapsed="false">
      <c r="A31" s="4" t="s">
        <v>46</v>
      </c>
      <c r="B31" s="5" t="s">
        <v>47</v>
      </c>
    </row>
    <row r="32" customFormat="false" ht="15" hidden="false" customHeight="false" outlineLevel="0" collapsed="false">
      <c r="A32" s="4" t="s">
        <v>48</v>
      </c>
      <c r="B32" s="5" t="s">
        <v>49</v>
      </c>
    </row>
    <row r="33" customFormat="false" ht="15" hidden="false" customHeight="false" outlineLevel="0" collapsed="false">
      <c r="A33" s="4" t="s">
        <v>50</v>
      </c>
      <c r="B33" s="5" t="s">
        <v>51</v>
      </c>
    </row>
    <row r="34" customFormat="false" ht="15" hidden="false" customHeight="false" outlineLevel="0" collapsed="false">
      <c r="A34" s="4" t="s">
        <v>52</v>
      </c>
      <c r="B34" s="5" t="s">
        <v>53</v>
      </c>
    </row>
    <row r="35" customFormat="false" ht="23.85" hidden="false" customHeight="false" outlineLevel="0" collapsed="false">
      <c r="A35" s="4" t="s">
        <v>54</v>
      </c>
      <c r="B35" s="5" t="s">
        <v>55</v>
      </c>
    </row>
    <row r="36" customFormat="false" ht="23.85" hidden="false" customHeight="false" outlineLevel="0" collapsed="false">
      <c r="A36" s="4" t="s">
        <v>56</v>
      </c>
      <c r="B36" s="5" t="s">
        <v>57</v>
      </c>
    </row>
    <row r="37" customFormat="false" ht="15" hidden="false" customHeight="false" outlineLevel="0" collapsed="false">
      <c r="A37" s="4" t="s">
        <v>58</v>
      </c>
      <c r="B37" s="5" t="s">
        <v>59</v>
      </c>
    </row>
    <row r="39" customFormat="false" ht="15" hidden="false" customHeight="false" outlineLevel="0" collapsed="false">
      <c r="A39" s="3" t="s">
        <v>60</v>
      </c>
    </row>
    <row r="40" customFormat="false" ht="15" hidden="false" customHeight="false" outlineLevel="0" collapsed="false">
      <c r="A40" s="4" t="s">
        <v>61</v>
      </c>
      <c r="B40" s="5" t="s">
        <v>62</v>
      </c>
    </row>
    <row r="41" customFormat="false" ht="23.85" hidden="false" customHeight="false" outlineLevel="0" collapsed="false">
      <c r="A41" s="4" t="s">
        <v>63</v>
      </c>
      <c r="B41" s="5" t="s">
        <v>64</v>
      </c>
    </row>
    <row r="42" customFormat="false" ht="15" hidden="false" customHeight="false" outlineLevel="0" collapsed="false">
      <c r="A42" s="4" t="s">
        <v>65</v>
      </c>
      <c r="B42" s="5" t="s">
        <v>66</v>
      </c>
    </row>
    <row r="43" customFormat="false" ht="15" hidden="false" customHeight="false" outlineLevel="0" collapsed="false">
      <c r="A43" s="4" t="s">
        <v>67</v>
      </c>
      <c r="B43" s="5" t="s">
        <v>68</v>
      </c>
    </row>
    <row r="45" customFormat="false" ht="15" hidden="false" customHeight="false" outlineLevel="0" collapsed="false">
      <c r="A45" s="3" t="s">
        <v>69</v>
      </c>
    </row>
    <row r="46" customFormat="false" ht="46.25" hidden="false" customHeight="false" outlineLevel="0" collapsed="false">
      <c r="A46" s="4" t="s">
        <v>70</v>
      </c>
      <c r="B46" s="5" t="s">
        <v>71</v>
      </c>
    </row>
    <row r="47" customFormat="false" ht="35.05" hidden="false" customHeight="false" outlineLevel="0" collapsed="false">
      <c r="A47" s="4" t="s">
        <v>72</v>
      </c>
      <c r="B47" s="5" t="s">
        <v>73</v>
      </c>
    </row>
    <row r="48" customFormat="false" ht="23.85" hidden="false" customHeight="false" outlineLevel="0" collapsed="false">
      <c r="A48" s="4" t="s">
        <v>74</v>
      </c>
      <c r="B48" s="5" t="s">
        <v>75</v>
      </c>
    </row>
    <row r="49" customFormat="false" ht="23.85" hidden="false" customHeight="false" outlineLevel="0" collapsed="false">
      <c r="A49" s="4" t="s">
        <v>76</v>
      </c>
      <c r="B49" s="5" t="s">
        <v>77</v>
      </c>
    </row>
    <row r="50" customFormat="false" ht="23.85" hidden="false" customHeight="false" outlineLevel="0" collapsed="false">
      <c r="A50" s="4" t="s">
        <v>78</v>
      </c>
      <c r="B50" s="5" t="s">
        <v>79</v>
      </c>
    </row>
    <row r="51" customFormat="false" ht="15" hidden="false" customHeight="false" outlineLevel="0" collapsed="false">
      <c r="A51" s="4" t="s">
        <v>80</v>
      </c>
      <c r="B51" s="5"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8"/>
    <col collapsed="false" customWidth="true" hidden="false" outlineLevel="0" max="4" min="4" style="0" width="60"/>
    <col collapsed="false" customWidth="true" hidden="false" outlineLevel="0" max="5" min="5" style="0" width="16"/>
    <col collapsed="false" customWidth="true" hidden="false" outlineLevel="0" max="6" min="6" style="0" width="42"/>
    <col collapsed="false" customWidth="true" hidden="false" outlineLevel="0" max="8" min="7" style="0" width="9"/>
    <col collapsed="false" customWidth="true" hidden="false" outlineLevel="0" max="9" min="9" style="0" width="60"/>
    <col collapsed="false" customWidth="true" hidden="false" outlineLevel="0" max="10" min="10" style="0" width="44"/>
    <col collapsed="false" customWidth="true" hidden="false" outlineLevel="0" max="11" min="11" style="0" width="24"/>
    <col collapsed="false" customWidth="true" hidden="false" outlineLevel="0" max="12" min="12" style="0" width="16"/>
    <col collapsed="false" customWidth="true" hidden="false" outlineLevel="0" max="13" min="13" style="0" width="14"/>
    <col collapsed="false" customWidth="true" hidden="false" outlineLevel="0" max="14" min="14" style="0" width="46"/>
    <col collapsed="false" customWidth="true" hidden="false" outlineLevel="0" max="15" min="15" style="0" width="2"/>
    <col collapsed="false" customWidth="true" hidden="false" outlineLevel="0" max="16" min="16" style="0" width="12"/>
    <col collapsed="false" customWidth="true" hidden="false" outlineLevel="0" max="19" min="17" style="0" width="10"/>
    <col collapsed="false" customWidth="true" hidden="false" outlineLevel="0" max="20" min="20" style="0" width="50"/>
    <col collapsed="false" customWidth="true" hidden="false" outlineLevel="0" max="22" min="21" style="0" width="10"/>
    <col collapsed="false" customWidth="true" hidden="false" outlineLevel="0" max="23" min="23" style="0" width="34"/>
    <col collapsed="false" customWidth="true" hidden="false" outlineLevel="0" max="24" min="24" style="0" width="60"/>
  </cols>
  <sheetData>
    <row r="1" customFormat="false" ht="31.5" hidden="false" customHeight="true" outlineLevel="0" collapsed="false">
      <c r="A1" s="9" t="s">
        <v>38</v>
      </c>
      <c r="B1" s="9" t="s">
        <v>82</v>
      </c>
      <c r="C1" s="9" t="s">
        <v>83</v>
      </c>
      <c r="D1" s="9" t="s">
        <v>42</v>
      </c>
      <c r="E1" s="9" t="s">
        <v>84</v>
      </c>
      <c r="F1" s="9" t="s">
        <v>44</v>
      </c>
      <c r="G1" s="9" t="s">
        <v>46</v>
      </c>
      <c r="H1" s="9" t="s">
        <v>48</v>
      </c>
      <c r="I1" s="9" t="s">
        <v>85</v>
      </c>
      <c r="J1" s="9" t="s">
        <v>86</v>
      </c>
      <c r="K1" s="9" t="s">
        <v>87</v>
      </c>
      <c r="L1" s="9" t="s">
        <v>54</v>
      </c>
      <c r="M1" s="9" t="s">
        <v>56</v>
      </c>
      <c r="N1" s="9" t="s">
        <v>58</v>
      </c>
      <c r="P1" s="9" t="s">
        <v>88</v>
      </c>
      <c r="Q1" s="9" t="s">
        <v>61</v>
      </c>
      <c r="R1" s="9" t="s">
        <v>89</v>
      </c>
      <c r="S1" s="9" t="s">
        <v>90</v>
      </c>
      <c r="T1" s="9" t="s">
        <v>91</v>
      </c>
      <c r="U1" s="9" t="s">
        <v>67</v>
      </c>
      <c r="V1" s="9" t="s">
        <v>92</v>
      </c>
      <c r="W1" s="9" t="s">
        <v>93</v>
      </c>
      <c r="X1" s="9" t="s">
        <v>94</v>
      </c>
    </row>
    <row r="2" customFormat="false" ht="35.05" hidden="false" customHeight="false" outlineLevel="0" collapsed="false">
      <c r="A2" s="10" t="s">
        <v>95</v>
      </c>
      <c r="B2" s="10" t="s">
        <v>96</v>
      </c>
      <c r="C2" s="10" t="s">
        <v>97</v>
      </c>
      <c r="D2" s="10" t="s">
        <v>98</v>
      </c>
      <c r="E2" s="10" t="s">
        <v>99</v>
      </c>
      <c r="F2" s="10" t="s">
        <v>100</v>
      </c>
      <c r="G2" s="10" t="n">
        <v>3</v>
      </c>
      <c r="H2" s="10" t="s">
        <v>101</v>
      </c>
      <c r="I2" s="10" t="s">
        <v>102</v>
      </c>
      <c r="J2" s="10" t="s">
        <v>103</v>
      </c>
      <c r="K2" s="10" t="s">
        <v>104</v>
      </c>
      <c r="L2" s="10" t="s">
        <v>105</v>
      </c>
      <c r="M2" s="10" t="s">
        <v>106</v>
      </c>
      <c r="N2" s="10" t="s">
        <v>107</v>
      </c>
      <c r="P2" s="11" t="s">
        <v>108</v>
      </c>
      <c r="Q2" s="12" t="n">
        <f aca="false">IF(P2="Yes",Scoring!$C$6,IF(P2="Partial",Scoring!$C$7,IF(P2="No",Scoring!$C$8,"")))</f>
        <v>1</v>
      </c>
      <c r="R2" s="13" t="n">
        <f aca="false">IF(Q2="",0,G2*Q2)</f>
        <v>3</v>
      </c>
      <c r="S2" s="13" t="n">
        <f aca="false">IF(Q2="",0,G2)</f>
        <v>3</v>
      </c>
      <c r="T2" s="13" t="str">
        <f aca="false">IF(OR(P2="Partial",P2="No"),I2,"")</f>
        <v/>
      </c>
      <c r="U2" s="14" t="n">
        <f aca="false">IF(Q2="",0,(1-Q2)*G2/SUMIFS($S$2:$S$97,$B$2:$B$97,B2)*INDEX(Scoring!$C$18:$C$27,MATCH(B2,Scoring!$B$18:$B$27,0)))</f>
        <v>0</v>
      </c>
      <c r="V2" s="14" t="n">
        <f aca="false">IF(U2&gt;0,U2+IF(AND(H2="Y",P2="No"),1000,0)+ROW()/100000,0)</f>
        <v>0</v>
      </c>
      <c r="W2" s="10" t="s">
        <v>109</v>
      </c>
      <c r="X2" s="15" t="s">
        <v>110</v>
      </c>
    </row>
    <row r="3" customFormat="false" ht="35.05" hidden="false" customHeight="false" outlineLevel="0" collapsed="false">
      <c r="A3" s="10" t="s">
        <v>111</v>
      </c>
      <c r="B3" s="10" t="s">
        <v>96</v>
      </c>
      <c r="C3" s="10" t="s">
        <v>112</v>
      </c>
      <c r="D3" s="10" t="s">
        <v>113</v>
      </c>
      <c r="E3" s="10" t="s">
        <v>99</v>
      </c>
      <c r="F3" s="10" t="s">
        <v>114</v>
      </c>
      <c r="G3" s="10" t="n">
        <v>3</v>
      </c>
      <c r="H3" s="10" t="s">
        <v>115</v>
      </c>
      <c r="I3" s="10" t="s">
        <v>116</v>
      </c>
      <c r="J3" s="10" t="s">
        <v>117</v>
      </c>
      <c r="K3" s="10" t="s">
        <v>118</v>
      </c>
      <c r="L3" s="10" t="s">
        <v>119</v>
      </c>
      <c r="M3" s="10" t="s">
        <v>106</v>
      </c>
      <c r="N3" s="10"/>
      <c r="P3" s="11" t="s">
        <v>108</v>
      </c>
      <c r="Q3" s="12" t="n">
        <f aca="false">IF(P3="Yes",Scoring!$C$6,IF(P3="Partial",Scoring!$C$7,IF(P3="No",Scoring!$C$8,"")))</f>
        <v>1</v>
      </c>
      <c r="R3" s="13" t="n">
        <f aca="false">IF(Q3="",0,G3*Q3)</f>
        <v>3</v>
      </c>
      <c r="S3" s="13" t="n">
        <f aca="false">IF(Q3="",0,G3)</f>
        <v>3</v>
      </c>
      <c r="T3" s="13" t="str">
        <f aca="false">IF(OR(P3="Partial",P3="No"),I3,"")</f>
        <v/>
      </c>
      <c r="U3" s="14" t="n">
        <f aca="false">IF(Q3="",0,(1-Q3)*G3/SUMIFS($S$2:$S$97,$B$2:$B$97,B3)*INDEX(Scoring!$C$18:$C$27,MATCH(B3,Scoring!$B$18:$B$27,0)))</f>
        <v>0</v>
      </c>
      <c r="V3" s="14" t="n">
        <f aca="false">IF(U3&gt;0,U3+IF(AND(H3="Y",P3="No"),1000,0)+ROW()/100000,0)</f>
        <v>0</v>
      </c>
      <c r="W3" s="10" t="s">
        <v>120</v>
      </c>
      <c r="X3" s="15" t="s">
        <v>121</v>
      </c>
    </row>
    <row r="4" customFormat="false" ht="35.05" hidden="false" customHeight="false" outlineLevel="0" collapsed="false">
      <c r="A4" s="10" t="s">
        <v>122</v>
      </c>
      <c r="B4" s="10" t="s">
        <v>96</v>
      </c>
      <c r="C4" s="10" t="s">
        <v>123</v>
      </c>
      <c r="D4" s="10" t="s">
        <v>124</v>
      </c>
      <c r="E4" s="10" t="s">
        <v>99</v>
      </c>
      <c r="F4" s="10" t="s">
        <v>125</v>
      </c>
      <c r="G4" s="10" t="n">
        <v>2</v>
      </c>
      <c r="H4" s="10" t="s">
        <v>115</v>
      </c>
      <c r="I4" s="10" t="s">
        <v>126</v>
      </c>
      <c r="J4" s="10" t="s">
        <v>127</v>
      </c>
      <c r="K4" s="10" t="s">
        <v>128</v>
      </c>
      <c r="L4" s="10" t="s">
        <v>105</v>
      </c>
      <c r="M4" s="10" t="s">
        <v>106</v>
      </c>
      <c r="N4" s="10"/>
      <c r="P4" s="11" t="s">
        <v>129</v>
      </c>
      <c r="Q4" s="12" t="n">
        <f aca="false">IF(P4="Yes",Scoring!$C$6,IF(P4="Partial",Scoring!$C$7,IF(P4="No",Scoring!$C$8,"")))</f>
        <v>0.5</v>
      </c>
      <c r="R4" s="13" t="n">
        <f aca="false">IF(Q4="",0,G4*Q4)</f>
        <v>1</v>
      </c>
      <c r="S4" s="13" t="n">
        <f aca="false">IF(Q4="",0,G4)</f>
        <v>2</v>
      </c>
      <c r="T4" s="13" t="str">
        <f aca="false">IF(OR(P4="Partial",P4="No"),I4,"")</f>
        <v>Provide meaningful text alternatives for informative images, icons and charts, mark decorative images so screen readers skip them, and provide data tables for complex charts.</v>
      </c>
      <c r="U4" s="14" t="n">
        <f aca="false">IF(Q4="",0,(1-Q4)*G4/SUMIFS($S$2:$S$97,$B$2:$B$97,B4)*INDEX(Scoring!$C$18:$C$27,MATCH(B4,Scoring!$B$18:$B$27,0)))</f>
        <v>0.606060606060606</v>
      </c>
      <c r="V4" s="14" t="n">
        <f aca="false">IF(U4&gt;0,U4+IF(AND(H4="Y",P4="No"),1000,0)+ROW()/100000,0)</f>
        <v>0.606100606060606</v>
      </c>
      <c r="W4" s="10" t="s">
        <v>130</v>
      </c>
      <c r="X4" s="15" t="s">
        <v>131</v>
      </c>
    </row>
    <row r="5" customFormat="false" ht="35.05" hidden="false" customHeight="false" outlineLevel="0" collapsed="false">
      <c r="A5" s="10" t="s">
        <v>132</v>
      </c>
      <c r="B5" s="10" t="s">
        <v>96</v>
      </c>
      <c r="C5" s="10" t="s">
        <v>123</v>
      </c>
      <c r="D5" s="10" t="s">
        <v>133</v>
      </c>
      <c r="E5" s="10" t="s">
        <v>99</v>
      </c>
      <c r="F5" s="10" t="s">
        <v>134</v>
      </c>
      <c r="G5" s="10" t="n">
        <v>2</v>
      </c>
      <c r="H5" s="10" t="s">
        <v>115</v>
      </c>
      <c r="I5" s="10" t="s">
        <v>135</v>
      </c>
      <c r="J5" s="10" t="s">
        <v>136</v>
      </c>
      <c r="K5" s="10" t="s">
        <v>137</v>
      </c>
      <c r="L5" s="10" t="s">
        <v>105</v>
      </c>
      <c r="M5" s="10" t="s">
        <v>106</v>
      </c>
      <c r="N5" s="10"/>
      <c r="P5" s="11" t="s">
        <v>108</v>
      </c>
      <c r="Q5" s="12" t="n">
        <f aca="false">IF(P5="Yes",Scoring!$C$6,IF(P5="Partial",Scoring!$C$7,IF(P5="No",Scoring!$C$8,"")))</f>
        <v>1</v>
      </c>
      <c r="R5" s="13" t="n">
        <f aca="false">IF(Q5="",0,G5*Q5)</f>
        <v>2</v>
      </c>
      <c r="S5" s="13" t="n">
        <f aca="false">IF(Q5="",0,G5)</f>
        <v>2</v>
      </c>
      <c r="T5" s="13" t="str">
        <f aca="false">IF(OR(P5="Partial",P5="No"),I5,"")</f>
        <v/>
      </c>
      <c r="U5" s="14" t="n">
        <f aca="false">IF(Q5="",0,(1-Q5)*G5/SUMIFS($S$2:$S$97,$B$2:$B$97,B5)*INDEX(Scoring!$C$18:$C$27,MATCH(B5,Scoring!$B$18:$B$27,0)))</f>
        <v>0</v>
      </c>
      <c r="V5" s="14" t="n">
        <f aca="false">IF(U5&gt;0,U5+IF(AND(H5="Y",P5="No"),1000,0)+ROW()/100000,0)</f>
        <v>0</v>
      </c>
      <c r="W5" s="10" t="s">
        <v>130</v>
      </c>
      <c r="X5" s="15" t="s">
        <v>131</v>
      </c>
    </row>
    <row r="6" customFormat="false" ht="46.25" hidden="false" customHeight="false" outlineLevel="0" collapsed="false">
      <c r="A6" s="10" t="s">
        <v>138</v>
      </c>
      <c r="B6" s="10" t="s">
        <v>96</v>
      </c>
      <c r="C6" s="10" t="s">
        <v>139</v>
      </c>
      <c r="D6" s="10" t="s">
        <v>140</v>
      </c>
      <c r="E6" s="10" t="s">
        <v>99</v>
      </c>
      <c r="F6" s="10" t="s">
        <v>141</v>
      </c>
      <c r="G6" s="10" t="n">
        <v>3</v>
      </c>
      <c r="H6" s="10" t="s">
        <v>101</v>
      </c>
      <c r="I6" s="10" t="s">
        <v>142</v>
      </c>
      <c r="J6" s="10" t="s">
        <v>143</v>
      </c>
      <c r="K6" s="10" t="s">
        <v>137</v>
      </c>
      <c r="L6" s="10" t="s">
        <v>105</v>
      </c>
      <c r="M6" s="10" t="s">
        <v>106</v>
      </c>
      <c r="N6" s="10"/>
      <c r="P6" s="11" t="s">
        <v>129</v>
      </c>
      <c r="Q6" s="12" t="n">
        <f aca="false">IF(P6="Yes",Scoring!$C$6,IF(P6="Partial",Scoring!$C$7,IF(P6="No",Scoring!$C$8,"")))</f>
        <v>0.5</v>
      </c>
      <c r="R6" s="13" t="n">
        <f aca="false">IF(Q6="",0,G6*Q6)</f>
        <v>1.5</v>
      </c>
      <c r="S6" s="13" t="n">
        <f aca="false">IF(Q6="",0,G6)</f>
        <v>3</v>
      </c>
      <c r="T6" s="13" t="str">
        <f aca="false">IF(OR(P6="Partial",P6="No"),I6,"")</f>
        <v>Make all functionality keyboard operable, remove keyboard traps, keep focus order logical and ensure the focus indicator is always visible and not obscured by sticky headers, banners or overlays.</v>
      </c>
      <c r="U6" s="14" t="n">
        <f aca="false">IF(Q6="",0,(1-Q6)*G6/SUMIFS($S$2:$S$97,$B$2:$B$97,B6)*INDEX(Scoring!$C$18:$C$27,MATCH(B6,Scoring!$B$18:$B$27,0)))</f>
        <v>0.909090909090909</v>
      </c>
      <c r="V6" s="14" t="n">
        <f aca="false">IF(U6&gt;0,U6+IF(AND(H6="Y",P6="No"),1000,0)+ROW()/100000,0)</f>
        <v>0.909150909090909</v>
      </c>
      <c r="W6" s="10" t="s">
        <v>130</v>
      </c>
      <c r="X6" s="15" t="s">
        <v>131</v>
      </c>
    </row>
    <row r="7" customFormat="false" ht="35.05" hidden="false" customHeight="false" outlineLevel="0" collapsed="false">
      <c r="A7" s="10" t="s">
        <v>144</v>
      </c>
      <c r="B7" s="10" t="s">
        <v>96</v>
      </c>
      <c r="C7" s="10" t="s">
        <v>145</v>
      </c>
      <c r="D7" s="10" t="s">
        <v>146</v>
      </c>
      <c r="E7" s="10" t="s">
        <v>99</v>
      </c>
      <c r="F7" s="10" t="s">
        <v>147</v>
      </c>
      <c r="G7" s="10" t="n">
        <v>2</v>
      </c>
      <c r="H7" s="10" t="s">
        <v>115</v>
      </c>
      <c r="I7" s="10" t="s">
        <v>148</v>
      </c>
      <c r="J7" s="10" t="s">
        <v>149</v>
      </c>
      <c r="K7" s="10" t="s">
        <v>150</v>
      </c>
      <c r="L7" s="10" t="s">
        <v>105</v>
      </c>
      <c r="M7" s="10" t="s">
        <v>106</v>
      </c>
      <c r="N7" s="10"/>
      <c r="P7" s="11" t="s">
        <v>108</v>
      </c>
      <c r="Q7" s="12" t="n">
        <f aca="false">IF(P7="Yes",Scoring!$C$6,IF(P7="Partial",Scoring!$C$7,IF(P7="No",Scoring!$C$8,"")))</f>
        <v>1</v>
      </c>
      <c r="R7" s="13" t="n">
        <f aca="false">IF(Q7="",0,G7*Q7)</f>
        <v>2</v>
      </c>
      <c r="S7" s="13" t="n">
        <f aca="false">IF(Q7="",0,G7)</f>
        <v>2</v>
      </c>
      <c r="T7" s="13" t="str">
        <f aca="false">IF(OR(P7="Partial",P7="No"),I7,"")</f>
        <v/>
      </c>
      <c r="U7" s="14" t="n">
        <f aca="false">IF(Q7="",0,(1-Q7)*G7/SUMIFS($S$2:$S$97,$B$2:$B$97,B7)*INDEX(Scoring!$C$18:$C$27,MATCH(B7,Scoring!$B$18:$B$27,0)))</f>
        <v>0</v>
      </c>
      <c r="V7" s="14" t="n">
        <f aca="false">IF(U7&gt;0,U7+IF(AND(H7="Y",P7="No"),1000,0)+ROW()/100000,0)</f>
        <v>0</v>
      </c>
      <c r="W7" s="10" t="s">
        <v>130</v>
      </c>
      <c r="X7" s="15" t="s">
        <v>131</v>
      </c>
    </row>
    <row r="8" customFormat="false" ht="35.05" hidden="false" customHeight="false" outlineLevel="0" collapsed="false">
      <c r="A8" s="10" t="s">
        <v>151</v>
      </c>
      <c r="B8" s="10" t="s">
        <v>96</v>
      </c>
      <c r="C8" s="10" t="s">
        <v>145</v>
      </c>
      <c r="D8" s="10" t="s">
        <v>152</v>
      </c>
      <c r="E8" s="10" t="s">
        <v>99</v>
      </c>
      <c r="F8" s="10" t="s">
        <v>153</v>
      </c>
      <c r="G8" s="10" t="n">
        <v>2</v>
      </c>
      <c r="H8" s="10" t="s">
        <v>115</v>
      </c>
      <c r="I8" s="10" t="s">
        <v>154</v>
      </c>
      <c r="J8" s="10" t="s">
        <v>155</v>
      </c>
      <c r="K8" s="10" t="s">
        <v>150</v>
      </c>
      <c r="L8" s="10" t="s">
        <v>105</v>
      </c>
      <c r="M8" s="10" t="s">
        <v>106</v>
      </c>
      <c r="N8" s="10"/>
      <c r="P8" s="11" t="s">
        <v>129</v>
      </c>
      <c r="Q8" s="12" t="n">
        <f aca="false">IF(P8="Yes",Scoring!$C$6,IF(P8="Partial",Scoring!$C$7,IF(P8="No",Scoring!$C$8,"")))</f>
        <v>0.5</v>
      </c>
      <c r="R8" s="13" t="n">
        <f aca="false">IF(Q8="",0,G8*Q8)</f>
        <v>1</v>
      </c>
      <c r="S8" s="13" t="n">
        <f aca="false">IF(Q8="",0,G8)</f>
        <v>2</v>
      </c>
      <c r="T8" s="13" t="str">
        <f aca="false">IF(OR(P8="Partial",P8="No"),I8,"")</f>
        <v>Use responsive layouts and relative units so content reflows at 400% zoom and text spacing can be increased without content being cut off or overlapping.</v>
      </c>
      <c r="U8" s="14" t="n">
        <f aca="false">IF(Q8="",0,(1-Q8)*G8/SUMIFS($S$2:$S$97,$B$2:$B$97,B8)*INDEX(Scoring!$C$18:$C$27,MATCH(B8,Scoring!$B$18:$B$27,0)))</f>
        <v>0.606060606060606</v>
      </c>
      <c r="V8" s="14" t="n">
        <f aca="false">IF(U8&gt;0,U8+IF(AND(H8="Y",P8="No"),1000,0)+ROW()/100000,0)</f>
        <v>0.606140606060606</v>
      </c>
      <c r="W8" s="10" t="s">
        <v>130</v>
      </c>
      <c r="X8" s="15" t="s">
        <v>131</v>
      </c>
    </row>
    <row r="9" customFormat="false" ht="23.85" hidden="false" customHeight="false" outlineLevel="0" collapsed="false">
      <c r="A9" s="10" t="s">
        <v>156</v>
      </c>
      <c r="B9" s="10" t="s">
        <v>96</v>
      </c>
      <c r="C9" s="10" t="s">
        <v>123</v>
      </c>
      <c r="D9" s="10" t="s">
        <v>157</v>
      </c>
      <c r="E9" s="10" t="s">
        <v>99</v>
      </c>
      <c r="F9" s="10" t="s">
        <v>158</v>
      </c>
      <c r="G9" s="10" t="n">
        <v>1</v>
      </c>
      <c r="H9" s="10" t="s">
        <v>115</v>
      </c>
      <c r="I9" s="10" t="s">
        <v>159</v>
      </c>
      <c r="J9" s="10" t="s">
        <v>160</v>
      </c>
      <c r="K9" s="10" t="s">
        <v>128</v>
      </c>
      <c r="L9" s="10" t="s">
        <v>105</v>
      </c>
      <c r="M9" s="10" t="s">
        <v>106</v>
      </c>
      <c r="N9" s="10"/>
      <c r="P9" s="11" t="s">
        <v>108</v>
      </c>
      <c r="Q9" s="12" t="n">
        <f aca="false">IF(P9="Yes",Scoring!$C$6,IF(P9="Partial",Scoring!$C$7,IF(P9="No",Scoring!$C$8,"")))</f>
        <v>1</v>
      </c>
      <c r="R9" s="13" t="n">
        <f aca="false">IF(Q9="",0,G9*Q9)</f>
        <v>1</v>
      </c>
      <c r="S9" s="13" t="n">
        <f aca="false">IF(Q9="",0,G9)</f>
        <v>1</v>
      </c>
      <c r="T9" s="13" t="str">
        <f aca="false">IF(OR(P9="Partial",P9="No"),I9,"")</f>
        <v/>
      </c>
      <c r="U9" s="14" t="n">
        <f aca="false">IF(Q9="",0,(1-Q9)*G9/SUMIFS($S$2:$S$97,$B$2:$B$97,B9)*INDEX(Scoring!$C$18:$C$27,MATCH(B9,Scoring!$B$18:$B$27,0)))</f>
        <v>0</v>
      </c>
      <c r="V9" s="14" t="n">
        <f aca="false">IF(U9&gt;0,U9+IF(AND(H9="Y",P9="No"),1000,0)+ROW()/100000,0)</f>
        <v>0</v>
      </c>
      <c r="W9" s="10" t="s">
        <v>130</v>
      </c>
      <c r="X9" s="15" t="s">
        <v>131</v>
      </c>
    </row>
    <row r="10" customFormat="false" ht="35.05" hidden="false" customHeight="false" outlineLevel="0" collapsed="false">
      <c r="A10" s="10" t="s">
        <v>161</v>
      </c>
      <c r="B10" s="10" t="s">
        <v>96</v>
      </c>
      <c r="C10" s="10" t="s">
        <v>162</v>
      </c>
      <c r="D10" s="10" t="s">
        <v>163</v>
      </c>
      <c r="E10" s="10" t="s">
        <v>99</v>
      </c>
      <c r="F10" s="10" t="s">
        <v>164</v>
      </c>
      <c r="G10" s="10" t="n">
        <v>2</v>
      </c>
      <c r="H10" s="10" t="s">
        <v>115</v>
      </c>
      <c r="I10" s="10" t="s">
        <v>165</v>
      </c>
      <c r="J10" s="10" t="s">
        <v>166</v>
      </c>
      <c r="K10" s="10" t="s">
        <v>137</v>
      </c>
      <c r="L10" s="10" t="s">
        <v>105</v>
      </c>
      <c r="M10" s="10" t="s">
        <v>167</v>
      </c>
      <c r="N10" s="10"/>
      <c r="P10" s="11" t="s">
        <v>108</v>
      </c>
      <c r="Q10" s="12" t="n">
        <f aca="false">IF(P10="Yes",Scoring!$C$6,IF(P10="Partial",Scoring!$C$7,IF(P10="No",Scoring!$C$8,"")))</f>
        <v>1</v>
      </c>
      <c r="R10" s="13" t="n">
        <f aca="false">IF(Q10="",0,G10*Q10)</f>
        <v>2</v>
      </c>
      <c r="S10" s="13" t="n">
        <f aca="false">IF(Q10="",0,G10)</f>
        <v>2</v>
      </c>
      <c r="T10" s="13" t="str">
        <f aca="false">IF(OR(P10="Partial",P10="No"),I10,"")</f>
        <v/>
      </c>
      <c r="U10" s="14" t="n">
        <f aca="false">IF(Q10="",0,(1-Q10)*G10/SUMIFS($S$2:$S$97,$B$2:$B$97,B10)*INDEX(Scoring!$C$18:$C$27,MATCH(B10,Scoring!$B$18:$B$27,0)))</f>
        <v>0</v>
      </c>
      <c r="V10" s="14" t="n">
        <f aca="false">IF(U10&gt;0,U10+IF(AND(H10="Y",P10="No"),1000,0)+ROW()/100000,0)</f>
        <v>0</v>
      </c>
      <c r="W10" s="10" t="s">
        <v>130</v>
      </c>
      <c r="X10" s="15" t="s">
        <v>131</v>
      </c>
    </row>
    <row r="11" customFormat="false" ht="35.05" hidden="false" customHeight="false" outlineLevel="0" collapsed="false">
      <c r="A11" s="10" t="s">
        <v>168</v>
      </c>
      <c r="B11" s="10" t="s">
        <v>96</v>
      </c>
      <c r="C11" s="10" t="s">
        <v>162</v>
      </c>
      <c r="D11" s="10" t="s">
        <v>169</v>
      </c>
      <c r="E11" s="10" t="s">
        <v>99</v>
      </c>
      <c r="F11" s="10" t="s">
        <v>170</v>
      </c>
      <c r="G11" s="10" t="n">
        <v>2</v>
      </c>
      <c r="H11" s="10" t="s">
        <v>115</v>
      </c>
      <c r="I11" s="10" t="s">
        <v>171</v>
      </c>
      <c r="J11" s="10" t="s">
        <v>172</v>
      </c>
      <c r="K11" s="10" t="s">
        <v>137</v>
      </c>
      <c r="L11" s="10" t="s">
        <v>105</v>
      </c>
      <c r="M11" s="10" t="s">
        <v>173</v>
      </c>
      <c r="N11" s="10"/>
      <c r="P11" s="11" t="s">
        <v>129</v>
      </c>
      <c r="Q11" s="12" t="n">
        <f aca="false">IF(P11="Yes",Scoring!$C$6,IF(P11="Partial",Scoring!$C$7,IF(P11="No",Scoring!$C$8,"")))</f>
        <v>0.5</v>
      </c>
      <c r="R11" s="13" t="n">
        <f aca="false">IF(Q11="",0,G11*Q11)</f>
        <v>1</v>
      </c>
      <c r="S11" s="13" t="n">
        <f aca="false">IF(Q11="",0,G11)</f>
        <v>2</v>
      </c>
      <c r="T11" s="13" t="str">
        <f aca="false">IF(OR(P11="Partial",P11="No"),I11,"")</f>
        <v>Allow paste and password managers, offer alternatives to puzzles or memory tests at sign-in, and auto-fill or let users select information they have already given.</v>
      </c>
      <c r="U11" s="14" t="n">
        <f aca="false">IF(Q11="",0,(1-Q11)*G11/SUMIFS($S$2:$S$97,$B$2:$B$97,B11)*INDEX(Scoring!$C$18:$C$27,MATCH(B11,Scoring!$B$18:$B$27,0)))</f>
        <v>0.606060606060606</v>
      </c>
      <c r="V11" s="14" t="n">
        <f aca="false">IF(U11&gt;0,U11+IF(AND(H11="Y",P11="No"),1000,0)+ROW()/100000,0)</f>
        <v>0.606170606060606</v>
      </c>
      <c r="W11" s="10" t="s">
        <v>130</v>
      </c>
      <c r="X11" s="15" t="s">
        <v>131</v>
      </c>
    </row>
    <row r="12" customFormat="false" ht="35.05" hidden="false" customHeight="false" outlineLevel="0" collapsed="false">
      <c r="A12" s="10" t="s">
        <v>174</v>
      </c>
      <c r="B12" s="10" t="s">
        <v>96</v>
      </c>
      <c r="C12" s="10" t="s">
        <v>175</v>
      </c>
      <c r="D12" s="10" t="s">
        <v>176</v>
      </c>
      <c r="E12" s="10" t="s">
        <v>99</v>
      </c>
      <c r="F12" s="10" t="s">
        <v>177</v>
      </c>
      <c r="G12" s="10" t="n">
        <v>1</v>
      </c>
      <c r="H12" s="10" t="s">
        <v>115</v>
      </c>
      <c r="I12" s="10" t="s">
        <v>178</v>
      </c>
      <c r="J12" s="10" t="s">
        <v>179</v>
      </c>
      <c r="K12" s="10" t="s">
        <v>150</v>
      </c>
      <c r="L12" s="10" t="s">
        <v>105</v>
      </c>
      <c r="M12" s="10" t="s">
        <v>106</v>
      </c>
      <c r="N12" s="10"/>
      <c r="P12" s="11" t="s">
        <v>108</v>
      </c>
      <c r="Q12" s="12" t="n">
        <f aca="false">IF(P12="Yes",Scoring!$C$6,IF(P12="Partial",Scoring!$C$7,IF(P12="No",Scoring!$C$8,"")))</f>
        <v>1</v>
      </c>
      <c r="R12" s="13" t="n">
        <f aca="false">IF(Q12="",0,G12*Q12)</f>
        <v>1</v>
      </c>
      <c r="S12" s="13" t="n">
        <f aca="false">IF(Q12="",0,G12)</f>
        <v>1</v>
      </c>
      <c r="T12" s="13" t="str">
        <f aca="false">IF(OR(P12="Partial",P12="No"),I12,"")</f>
        <v/>
      </c>
      <c r="U12" s="14" t="n">
        <f aca="false">IF(Q12="",0,(1-Q12)*G12/SUMIFS($S$2:$S$97,$B$2:$B$97,B12)*INDEX(Scoring!$C$18:$C$27,MATCH(B12,Scoring!$B$18:$B$27,0)))</f>
        <v>0</v>
      </c>
      <c r="V12" s="14" t="n">
        <f aca="false">IF(U12&gt;0,U12+IF(AND(H12="Y",P12="No"),1000,0)+ROW()/100000,0)</f>
        <v>0</v>
      </c>
      <c r="W12" s="10" t="s">
        <v>130</v>
      </c>
      <c r="X12" s="15" t="s">
        <v>131</v>
      </c>
    </row>
    <row r="13" customFormat="false" ht="46.25" hidden="false" customHeight="false" outlineLevel="0" collapsed="false">
      <c r="A13" s="10" t="s">
        <v>180</v>
      </c>
      <c r="B13" s="10" t="s">
        <v>96</v>
      </c>
      <c r="C13" s="10" t="s">
        <v>181</v>
      </c>
      <c r="D13" s="10" t="s">
        <v>182</v>
      </c>
      <c r="E13" s="10" t="s">
        <v>99</v>
      </c>
      <c r="F13" s="10" t="s">
        <v>183</v>
      </c>
      <c r="G13" s="10" t="n">
        <v>1</v>
      </c>
      <c r="H13" s="10" t="s">
        <v>115</v>
      </c>
      <c r="I13" s="10" t="s">
        <v>184</v>
      </c>
      <c r="J13" s="10" t="s">
        <v>185</v>
      </c>
      <c r="K13" s="10" t="s">
        <v>186</v>
      </c>
      <c r="L13" s="10" t="s">
        <v>105</v>
      </c>
      <c r="M13" s="10" t="s">
        <v>187</v>
      </c>
      <c r="N13" s="10" t="s">
        <v>188</v>
      </c>
      <c r="P13" s="11" t="s">
        <v>129</v>
      </c>
      <c r="Q13" s="12" t="n">
        <f aca="false">IF(P13="Yes",Scoring!$C$6,IF(P13="Partial",Scoring!$C$7,IF(P13="No",Scoring!$C$8,"")))</f>
        <v>0.5</v>
      </c>
      <c r="R13" s="13" t="n">
        <f aca="false">IF(Q13="",0,G13*Q13)</f>
        <v>0.5</v>
      </c>
      <c r="S13" s="13" t="n">
        <f aca="false">IF(Q13="",0,G13)</f>
        <v>1</v>
      </c>
      <c r="T13" s="13" t="str">
        <f aca="false">IF(OR(P13="Partial",P13="No"),I13,"")</f>
        <v>Provide captions and transcripts for all prerecorded media and audio description where visual information is not otherwise conveyed, noting the specific exceptions in the Web Accessibility Standard.</v>
      </c>
      <c r="U13" s="14" t="n">
        <f aca="false">IF(Q13="",0,(1-Q13)*G13/SUMIFS($S$2:$S$97,$B$2:$B$97,B13)*INDEX(Scoring!$C$18:$C$27,MATCH(B13,Scoring!$B$18:$B$27,0)))</f>
        <v>0.303030303030303</v>
      </c>
      <c r="V13" s="14" t="n">
        <f aca="false">IF(U13&gt;0,U13+IF(AND(H13="Y",P13="No"),1000,0)+ROW()/100000,0)</f>
        <v>0.303160303030303</v>
      </c>
      <c r="W13" s="10" t="s">
        <v>130</v>
      </c>
      <c r="X13" s="15" t="s">
        <v>131</v>
      </c>
    </row>
    <row r="14" customFormat="false" ht="35.05" hidden="false" customHeight="false" outlineLevel="0" collapsed="false">
      <c r="A14" s="10" t="s">
        <v>189</v>
      </c>
      <c r="B14" s="10" t="s">
        <v>96</v>
      </c>
      <c r="C14" s="10" t="s">
        <v>190</v>
      </c>
      <c r="D14" s="10" t="s">
        <v>191</v>
      </c>
      <c r="E14" s="10" t="s">
        <v>99</v>
      </c>
      <c r="F14" s="10" t="s">
        <v>192</v>
      </c>
      <c r="G14" s="10" t="n">
        <v>2</v>
      </c>
      <c r="H14" s="10" t="s">
        <v>115</v>
      </c>
      <c r="I14" s="10" t="s">
        <v>193</v>
      </c>
      <c r="J14" s="10" t="s">
        <v>194</v>
      </c>
      <c r="K14" s="10" t="s">
        <v>195</v>
      </c>
      <c r="L14" s="10" t="s">
        <v>105</v>
      </c>
      <c r="M14" s="10" t="s">
        <v>106</v>
      </c>
      <c r="N14" s="10" t="s">
        <v>196</v>
      </c>
      <c r="P14" s="11" t="s">
        <v>108</v>
      </c>
      <c r="Q14" s="12" t="n">
        <f aca="false">IF(P14="Yes",Scoring!$C$6,IF(P14="Partial",Scoring!$C$7,IF(P14="No",Scoring!$C$8,"")))</f>
        <v>1</v>
      </c>
      <c r="R14" s="13" t="n">
        <f aca="false">IF(Q14="",0,G14*Q14)</f>
        <v>2</v>
      </c>
      <c r="S14" s="13" t="n">
        <f aca="false">IF(Q14="",0,G14)</f>
        <v>2</v>
      </c>
      <c r="T14" s="13" t="str">
        <f aca="false">IF(OR(P14="Partial",P14="No"),I14,"")</f>
        <v/>
      </c>
      <c r="U14" s="14" t="n">
        <f aca="false">IF(Q14="",0,(1-Q14)*G14/SUMIFS($S$2:$S$97,$B$2:$B$97,B14)*INDEX(Scoring!$C$18:$C$27,MATCH(B14,Scoring!$B$18:$B$27,0)))</f>
        <v>0</v>
      </c>
      <c r="V14" s="14" t="n">
        <f aca="false">IF(U14&gt;0,U14+IF(AND(H14="Y",P14="No"),1000,0)+ROW()/100000,0)</f>
        <v>0</v>
      </c>
      <c r="W14" s="10" t="s">
        <v>197</v>
      </c>
      <c r="X14" s="15" t="s">
        <v>198</v>
      </c>
    </row>
    <row r="15" customFormat="false" ht="35.05" hidden="false" customHeight="false" outlineLevel="0" collapsed="false">
      <c r="A15" s="10" t="s">
        <v>199</v>
      </c>
      <c r="B15" s="10" t="s">
        <v>96</v>
      </c>
      <c r="C15" s="10" t="s">
        <v>200</v>
      </c>
      <c r="D15" s="10" t="s">
        <v>201</v>
      </c>
      <c r="E15" s="10" t="s">
        <v>99</v>
      </c>
      <c r="F15" s="10" t="s">
        <v>202</v>
      </c>
      <c r="G15" s="10" t="n">
        <v>2</v>
      </c>
      <c r="H15" s="10" t="s">
        <v>115</v>
      </c>
      <c r="I15" s="10" t="s">
        <v>203</v>
      </c>
      <c r="J15" s="10" t="s">
        <v>204</v>
      </c>
      <c r="K15" s="10" t="s">
        <v>205</v>
      </c>
      <c r="L15" s="10" t="s">
        <v>119</v>
      </c>
      <c r="M15" s="10" t="s">
        <v>106</v>
      </c>
      <c r="N15" s="10" t="s">
        <v>206</v>
      </c>
      <c r="P15" s="11" t="s">
        <v>108</v>
      </c>
      <c r="Q15" s="12" t="n">
        <f aca="false">IF(P15="Yes",Scoring!$C$6,IF(P15="Partial",Scoring!$C$7,IF(P15="No",Scoring!$C$8,"")))</f>
        <v>1</v>
      </c>
      <c r="R15" s="13" t="n">
        <f aca="false">IF(Q15="",0,G15*Q15)</f>
        <v>2</v>
      </c>
      <c r="S15" s="13" t="n">
        <f aca="false">IF(Q15="",0,G15)</f>
        <v>2</v>
      </c>
      <c r="T15" s="13" t="str">
        <f aca="false">IF(OR(P15="Partial",P15="No"),I15,"")</f>
        <v/>
      </c>
      <c r="U15" s="14" t="n">
        <f aca="false">IF(Q15="",0,(1-Q15)*G15/SUMIFS($S$2:$S$97,$B$2:$B$97,B15)*INDEX(Scoring!$C$18:$C$27,MATCH(B15,Scoring!$B$18:$B$27,0)))</f>
        <v>0</v>
      </c>
      <c r="V15" s="14" t="n">
        <f aca="false">IF(U15&gt;0,U15+IF(AND(H15="Y",P15="No"),1000,0)+ROW()/100000,0)</f>
        <v>0</v>
      </c>
      <c r="W15" s="10" t="s">
        <v>207</v>
      </c>
      <c r="X15" s="15" t="s">
        <v>208</v>
      </c>
    </row>
    <row r="16" customFormat="false" ht="35.05" hidden="false" customHeight="false" outlineLevel="0" collapsed="false">
      <c r="A16" s="10" t="s">
        <v>209</v>
      </c>
      <c r="B16" s="10" t="s">
        <v>96</v>
      </c>
      <c r="C16" s="10" t="s">
        <v>210</v>
      </c>
      <c r="D16" s="10" t="s">
        <v>211</v>
      </c>
      <c r="E16" s="10" t="s">
        <v>99</v>
      </c>
      <c r="F16" s="10" t="s">
        <v>212</v>
      </c>
      <c r="G16" s="10" t="n">
        <v>2</v>
      </c>
      <c r="H16" s="10" t="s">
        <v>115</v>
      </c>
      <c r="I16" s="10" t="s">
        <v>213</v>
      </c>
      <c r="J16" s="10" t="s">
        <v>214</v>
      </c>
      <c r="K16" s="10" t="s">
        <v>215</v>
      </c>
      <c r="L16" s="10" t="s">
        <v>105</v>
      </c>
      <c r="M16" s="10" t="s">
        <v>216</v>
      </c>
      <c r="N16" s="10"/>
      <c r="P16" s="11" t="s">
        <v>108</v>
      </c>
      <c r="Q16" s="12" t="n">
        <f aca="false">IF(P16="Yes",Scoring!$C$6,IF(P16="Partial",Scoring!$C$7,IF(P16="No",Scoring!$C$8,"")))</f>
        <v>1</v>
      </c>
      <c r="R16" s="13" t="n">
        <f aca="false">IF(Q16="",0,G16*Q16)</f>
        <v>2</v>
      </c>
      <c r="S16" s="13" t="n">
        <f aca="false">IF(Q16="",0,G16)</f>
        <v>2</v>
      </c>
      <c r="T16" s="13" t="str">
        <f aca="false">IF(OR(P16="Partial",P16="No"),I16,"")</f>
        <v/>
      </c>
      <c r="U16" s="14" t="n">
        <f aca="false">IF(Q16="",0,(1-Q16)*G16/SUMIFS($S$2:$S$97,$B$2:$B$97,B16)*INDEX(Scoring!$C$18:$C$27,MATCH(B16,Scoring!$B$18:$B$27,0)))</f>
        <v>0</v>
      </c>
      <c r="V16" s="14" t="n">
        <f aca="false">IF(U16&gt;0,U16+IF(AND(H16="Y",P16="No"),1000,0)+ROW()/100000,0)</f>
        <v>0</v>
      </c>
      <c r="W16" s="10" t="s">
        <v>109</v>
      </c>
      <c r="X16" s="15" t="s">
        <v>110</v>
      </c>
    </row>
    <row r="17" customFormat="false" ht="35.05" hidden="false" customHeight="false" outlineLevel="0" collapsed="false">
      <c r="A17" s="10" t="s">
        <v>217</v>
      </c>
      <c r="B17" s="10" t="s">
        <v>96</v>
      </c>
      <c r="C17" s="10" t="s">
        <v>218</v>
      </c>
      <c r="D17" s="10" t="s">
        <v>219</v>
      </c>
      <c r="E17" s="10" t="s">
        <v>99</v>
      </c>
      <c r="F17" s="10" t="s">
        <v>220</v>
      </c>
      <c r="G17" s="10" t="n">
        <v>2</v>
      </c>
      <c r="H17" s="10" t="s">
        <v>115</v>
      </c>
      <c r="I17" s="10" t="s">
        <v>221</v>
      </c>
      <c r="J17" s="10" t="s">
        <v>222</v>
      </c>
      <c r="K17" s="10" t="s">
        <v>223</v>
      </c>
      <c r="L17" s="10" t="s">
        <v>119</v>
      </c>
      <c r="M17" s="10" t="s">
        <v>106</v>
      </c>
      <c r="N17" s="10"/>
      <c r="P17" s="11" t="s">
        <v>129</v>
      </c>
      <c r="Q17" s="12" t="n">
        <f aca="false">IF(P17="Yes",Scoring!$C$6,IF(P17="Partial",Scoring!$C$7,IF(P17="No",Scoring!$C$8,"")))</f>
        <v>0.5</v>
      </c>
      <c r="R17" s="13" t="n">
        <f aca="false">IF(Q17="",0,G17*Q17)</f>
        <v>1</v>
      </c>
      <c r="S17" s="13" t="n">
        <f aca="false">IF(Q17="",0,G17)</f>
        <v>2</v>
      </c>
      <c r="T17" s="13" t="str">
        <f aca="false">IF(OR(P17="Partial",P17="No"),I17,"")</f>
        <v>Recruit disabled people, including assistive technology users, into research and usability testing at each major stage of design and change.</v>
      </c>
      <c r="U17" s="14" t="n">
        <f aca="false">IF(Q17="",0,(1-Q17)*G17/SUMIFS($S$2:$S$97,$B$2:$B$97,B17)*INDEX(Scoring!$C$18:$C$27,MATCH(B17,Scoring!$B$18:$B$27,0)))</f>
        <v>0.606060606060606</v>
      </c>
      <c r="V17" s="14" t="n">
        <f aca="false">IF(U17&gt;0,U17+IF(AND(H17="Y",P17="No"),1000,0)+ROW()/100000,0)</f>
        <v>0.606230606060606</v>
      </c>
      <c r="W17" s="10" t="s">
        <v>224</v>
      </c>
      <c r="X17" s="15" t="s">
        <v>225</v>
      </c>
    </row>
    <row r="18" customFormat="false" ht="35.05" hidden="false" customHeight="false" outlineLevel="0" collapsed="false">
      <c r="A18" s="10" t="s">
        <v>226</v>
      </c>
      <c r="B18" s="10" t="s">
        <v>96</v>
      </c>
      <c r="C18" s="10" t="s">
        <v>227</v>
      </c>
      <c r="D18" s="10" t="s">
        <v>228</v>
      </c>
      <c r="E18" s="10" t="s">
        <v>99</v>
      </c>
      <c r="F18" s="10" t="s">
        <v>229</v>
      </c>
      <c r="G18" s="10" t="n">
        <v>1</v>
      </c>
      <c r="H18" s="10" t="s">
        <v>115</v>
      </c>
      <c r="I18" s="10" t="s">
        <v>230</v>
      </c>
      <c r="J18" s="10" t="s">
        <v>231</v>
      </c>
      <c r="K18" s="10" t="s">
        <v>232</v>
      </c>
      <c r="L18" s="10" t="s">
        <v>233</v>
      </c>
      <c r="M18" s="10" t="s">
        <v>106</v>
      </c>
      <c r="N18" s="10"/>
      <c r="P18" s="11" t="s">
        <v>108</v>
      </c>
      <c r="Q18" s="12" t="n">
        <f aca="false">IF(P18="Yes",Scoring!$C$6,IF(P18="Partial",Scoring!$C$7,IF(P18="No",Scoring!$C$8,"")))</f>
        <v>1</v>
      </c>
      <c r="R18" s="13" t="n">
        <f aca="false">IF(Q18="",0,G18*Q18)</f>
        <v>1</v>
      </c>
      <c r="S18" s="13" t="n">
        <f aca="false">IF(Q18="",0,G18)</f>
        <v>1</v>
      </c>
      <c r="T18" s="13" t="str">
        <f aca="false">IF(OR(P18="Partial",P18="No"),I18,"")</f>
        <v/>
      </c>
      <c r="U18" s="14" t="n">
        <f aca="false">IF(Q18="",0,(1-Q18)*G18/SUMIFS($S$2:$S$97,$B$2:$B$97,B18)*INDEX(Scoring!$C$18:$C$27,MATCH(B18,Scoring!$B$18:$B$27,0)))</f>
        <v>0</v>
      </c>
      <c r="V18" s="14" t="n">
        <f aca="false">IF(U18&gt;0,U18+IF(AND(H18="Y",P18="No"),1000,0)+ROW()/100000,0)</f>
        <v>0</v>
      </c>
      <c r="W18" s="10" t="s">
        <v>231</v>
      </c>
      <c r="X18" s="15" t="s">
        <v>234</v>
      </c>
    </row>
    <row r="19" customFormat="false" ht="35.05" hidden="false" customHeight="false" outlineLevel="0" collapsed="false">
      <c r="A19" s="10" t="s">
        <v>235</v>
      </c>
      <c r="B19" s="10" t="s">
        <v>236</v>
      </c>
      <c r="C19" s="10" t="s">
        <v>237</v>
      </c>
      <c r="D19" s="10" t="s">
        <v>238</v>
      </c>
      <c r="E19" s="10" t="s">
        <v>99</v>
      </c>
      <c r="F19" s="10" t="s">
        <v>239</v>
      </c>
      <c r="G19" s="10" t="n">
        <v>3</v>
      </c>
      <c r="H19" s="10" t="s">
        <v>101</v>
      </c>
      <c r="I19" s="10" t="s">
        <v>240</v>
      </c>
      <c r="J19" s="10" t="s">
        <v>241</v>
      </c>
      <c r="K19" s="10" t="s">
        <v>242</v>
      </c>
      <c r="L19" s="10" t="s">
        <v>233</v>
      </c>
      <c r="M19" s="10" t="s">
        <v>106</v>
      </c>
      <c r="N19" s="10"/>
      <c r="P19" s="11" t="s">
        <v>129</v>
      </c>
      <c r="Q19" s="12" t="n">
        <f aca="false">IF(P19="Yes",Scoring!$C$6,IF(P19="Partial",Scoring!$C$7,IF(P19="No",Scoring!$C$8,"")))</f>
        <v>0.5</v>
      </c>
      <c r="R19" s="13" t="n">
        <f aca="false">IF(Q19="",0,G19*Q19)</f>
        <v>1.5</v>
      </c>
      <c r="S19" s="13" t="n">
        <f aca="false">IF(Q19="",0,G19)</f>
        <v>3</v>
      </c>
      <c r="T19" s="13" t="str">
        <f aca="false">IF(OR(P19="Partial",P19="No"),I19,"")</f>
        <v>Ensure the application is adaptive, so content and objects scale to the user's screen size and orientation, and test key tasks on the devices your users actually use.</v>
      </c>
      <c r="U19" s="14" t="n">
        <f aca="false">IF(Q19="",0,(1-Q19)*G19/SUMIFS($S$2:$S$97,$B$2:$B$97,B19)*INDEX(Scoring!$C$18:$C$27,MATCH(B19,Scoring!$B$18:$B$27,0)))</f>
        <v>0.978260869565217</v>
      </c>
      <c r="V19" s="14" t="n">
        <f aca="false">IF(U19&gt;0,U19+IF(AND(H19="Y",P19="No"),1000,0)+ROW()/100000,0)</f>
        <v>0.978450869565217</v>
      </c>
      <c r="W19" s="10" t="s">
        <v>243</v>
      </c>
      <c r="X19" s="15" t="s">
        <v>244</v>
      </c>
    </row>
    <row r="20" customFormat="false" ht="23.85" hidden="false" customHeight="false" outlineLevel="0" collapsed="false">
      <c r="A20" s="10" t="s">
        <v>245</v>
      </c>
      <c r="B20" s="10" t="s">
        <v>236</v>
      </c>
      <c r="C20" s="10" t="s">
        <v>246</v>
      </c>
      <c r="D20" s="10" t="s">
        <v>247</v>
      </c>
      <c r="E20" s="10" t="s">
        <v>99</v>
      </c>
      <c r="F20" s="10" t="s">
        <v>248</v>
      </c>
      <c r="G20" s="10" t="n">
        <v>3</v>
      </c>
      <c r="H20" s="10" t="s">
        <v>115</v>
      </c>
      <c r="I20" s="10" t="s">
        <v>249</v>
      </c>
      <c r="J20" s="10" t="s">
        <v>250</v>
      </c>
      <c r="K20" s="10" t="s">
        <v>251</v>
      </c>
      <c r="L20" s="10" t="s">
        <v>119</v>
      </c>
      <c r="M20" s="10" t="s">
        <v>106</v>
      </c>
      <c r="N20" s="10"/>
      <c r="P20" s="11" t="s">
        <v>108</v>
      </c>
      <c r="Q20" s="12" t="n">
        <f aca="false">IF(P20="Yes",Scoring!$C$6,IF(P20="Partial",Scoring!$C$7,IF(P20="No",Scoring!$C$8,"")))</f>
        <v>1</v>
      </c>
      <c r="R20" s="13" t="n">
        <f aca="false">IF(Q20="",0,G20*Q20)</f>
        <v>3</v>
      </c>
      <c r="S20" s="13" t="n">
        <f aca="false">IF(Q20="",0,G20)</f>
        <v>3</v>
      </c>
      <c r="T20" s="13" t="str">
        <f aca="false">IF(OR(P20="Partial",P20="No"),I20,"")</f>
        <v/>
      </c>
      <c r="U20" s="14" t="n">
        <f aca="false">IF(Q20="",0,(1-Q20)*G20/SUMIFS($S$2:$S$97,$B$2:$B$97,B20)*INDEX(Scoring!$C$18:$C$27,MATCH(B20,Scoring!$B$18:$B$27,0)))</f>
        <v>0</v>
      </c>
      <c r="V20" s="14" t="n">
        <f aca="false">IF(U20&gt;0,U20+IF(AND(H20="Y",P20="No"),1000,0)+ROW()/100000,0)</f>
        <v>0</v>
      </c>
      <c r="W20" s="10" t="s">
        <v>252</v>
      </c>
      <c r="X20" s="15" t="s">
        <v>253</v>
      </c>
    </row>
    <row r="21" customFormat="false" ht="35.05" hidden="false" customHeight="false" outlineLevel="0" collapsed="false">
      <c r="A21" s="10" t="s">
        <v>254</v>
      </c>
      <c r="B21" s="10" t="s">
        <v>236</v>
      </c>
      <c r="C21" s="10" t="s">
        <v>255</v>
      </c>
      <c r="D21" s="10" t="s">
        <v>256</v>
      </c>
      <c r="E21" s="10" t="s">
        <v>99</v>
      </c>
      <c r="F21" s="10" t="s">
        <v>257</v>
      </c>
      <c r="G21" s="10" t="n">
        <v>2</v>
      </c>
      <c r="H21" s="10" t="s">
        <v>115</v>
      </c>
      <c r="I21" s="10" t="s">
        <v>258</v>
      </c>
      <c r="J21" s="10" t="s">
        <v>259</v>
      </c>
      <c r="K21" s="10" t="s">
        <v>260</v>
      </c>
      <c r="L21" s="10" t="s">
        <v>233</v>
      </c>
      <c r="M21" s="10" t="s">
        <v>106</v>
      </c>
      <c r="N21" s="10"/>
      <c r="P21" s="11" t="s">
        <v>129</v>
      </c>
      <c r="Q21" s="12" t="n">
        <f aca="false">IF(P21="Yes",Scoring!$C$6,IF(P21="Partial",Scoring!$C$7,IF(P21="No",Scoring!$C$8,"")))</f>
        <v>0.5</v>
      </c>
      <c r="R21" s="13" t="n">
        <f aca="false">IF(Q21="",0,G21*Q21)</f>
        <v>1</v>
      </c>
      <c r="S21" s="13" t="n">
        <f aca="false">IF(Q21="",0,G21)</f>
        <v>2</v>
      </c>
      <c r="T21" s="13" t="str">
        <f aca="false">IF(OR(P21="Partial",P21="No"),I21,"")</f>
        <v>Usability test the most important tasks with representative users at least annually and after significant change, and fix high-severity issues first.</v>
      </c>
      <c r="U21" s="14" t="n">
        <f aca="false">IF(Q21="",0,(1-Q21)*G21/SUMIFS($S$2:$S$97,$B$2:$B$97,B21)*INDEX(Scoring!$C$18:$C$27,MATCH(B21,Scoring!$B$18:$B$27,0)))</f>
        <v>0.652173913043478</v>
      </c>
      <c r="V21" s="14" t="n">
        <f aca="false">IF(U21&gt;0,U21+IF(AND(H21="Y",P21="No"),1000,0)+ROW()/100000,0)</f>
        <v>0.652383913043478</v>
      </c>
      <c r="W21" s="10" t="s">
        <v>261</v>
      </c>
      <c r="X21" s="15" t="s">
        <v>262</v>
      </c>
    </row>
    <row r="22" customFormat="false" ht="23.85" hidden="false" customHeight="false" outlineLevel="0" collapsed="false">
      <c r="A22" s="10" t="s">
        <v>263</v>
      </c>
      <c r="B22" s="10" t="s">
        <v>236</v>
      </c>
      <c r="C22" s="10" t="s">
        <v>264</v>
      </c>
      <c r="D22" s="10" t="s">
        <v>265</v>
      </c>
      <c r="E22" s="10" t="s">
        <v>99</v>
      </c>
      <c r="F22" s="10" t="s">
        <v>266</v>
      </c>
      <c r="G22" s="10" t="n">
        <v>1</v>
      </c>
      <c r="H22" s="10" t="s">
        <v>115</v>
      </c>
      <c r="I22" s="10" t="s">
        <v>267</v>
      </c>
      <c r="J22" s="10" t="s">
        <v>268</v>
      </c>
      <c r="K22" s="10" t="s">
        <v>269</v>
      </c>
      <c r="L22" s="10" t="s">
        <v>233</v>
      </c>
      <c r="M22" s="10" t="s">
        <v>106</v>
      </c>
      <c r="N22" s="10" t="s">
        <v>270</v>
      </c>
      <c r="P22" s="11" t="s">
        <v>108</v>
      </c>
      <c r="Q22" s="12" t="n">
        <f aca="false">IF(P22="Yes",Scoring!$C$6,IF(P22="Partial",Scoring!$C$7,IF(P22="No",Scoring!$C$8,"")))</f>
        <v>1</v>
      </c>
      <c r="R22" s="13" t="n">
        <f aca="false">IF(Q22="",0,G22*Q22)</f>
        <v>1</v>
      </c>
      <c r="S22" s="13" t="n">
        <f aca="false">IF(Q22="",0,G22)</f>
        <v>1</v>
      </c>
      <c r="T22" s="13" t="str">
        <f aca="false">IF(OR(P22="Partial",P22="No"),I22,"")</f>
        <v/>
      </c>
      <c r="U22" s="14" t="n">
        <f aca="false">IF(Q22="",0,(1-Q22)*G22/SUMIFS($S$2:$S$97,$B$2:$B$97,B22)*INDEX(Scoring!$C$18:$C$27,MATCH(B22,Scoring!$B$18:$B$27,0)))</f>
        <v>0</v>
      </c>
      <c r="V22" s="14" t="n">
        <f aca="false">IF(U22&gt;0,U22+IF(AND(H22="Y",P22="No"),1000,0)+ROW()/100000,0)</f>
        <v>0</v>
      </c>
      <c r="W22" s="10" t="s">
        <v>271</v>
      </c>
      <c r="X22" s="15" t="s">
        <v>272</v>
      </c>
    </row>
    <row r="23" customFormat="false" ht="35.05" hidden="false" customHeight="false" outlineLevel="0" collapsed="false">
      <c r="A23" s="10" t="s">
        <v>273</v>
      </c>
      <c r="B23" s="10" t="s">
        <v>236</v>
      </c>
      <c r="C23" s="10" t="s">
        <v>274</v>
      </c>
      <c r="D23" s="10" t="s">
        <v>275</v>
      </c>
      <c r="E23" s="10" t="s">
        <v>99</v>
      </c>
      <c r="F23" s="10" t="s">
        <v>276</v>
      </c>
      <c r="G23" s="10" t="n">
        <v>2</v>
      </c>
      <c r="H23" s="10" t="s">
        <v>115</v>
      </c>
      <c r="I23" s="10" t="s">
        <v>277</v>
      </c>
      <c r="J23" s="10" t="s">
        <v>278</v>
      </c>
      <c r="K23" s="10"/>
      <c r="L23" s="10" t="s">
        <v>233</v>
      </c>
      <c r="M23" s="10" t="s">
        <v>106</v>
      </c>
      <c r="N23" s="10"/>
      <c r="P23" s="11" t="s">
        <v>108</v>
      </c>
      <c r="Q23" s="12" t="n">
        <f aca="false">IF(P23="Yes",Scoring!$C$6,IF(P23="Partial",Scoring!$C$7,IF(P23="No",Scoring!$C$8,"")))</f>
        <v>1</v>
      </c>
      <c r="R23" s="13" t="n">
        <f aca="false">IF(Q23="",0,G23*Q23)</f>
        <v>2</v>
      </c>
      <c r="S23" s="13" t="n">
        <f aca="false">IF(Q23="",0,G23)</f>
        <v>2</v>
      </c>
      <c r="T23" s="13" t="str">
        <f aca="false">IF(OR(P23="Partial",P23="No"),I23,"")</f>
        <v/>
      </c>
      <c r="U23" s="14" t="n">
        <f aca="false">IF(Q23="",0,(1-Q23)*G23/SUMIFS($S$2:$S$97,$B$2:$B$97,B23)*INDEX(Scoring!$C$18:$C$27,MATCH(B23,Scoring!$B$18:$B$27,0)))</f>
        <v>0</v>
      </c>
      <c r="V23" s="14" t="n">
        <f aca="false">IF(U23&gt;0,U23+IF(AND(H23="Y",P23="No"),1000,0)+ROW()/100000,0)</f>
        <v>0</v>
      </c>
      <c r="W23" s="10" t="s">
        <v>279</v>
      </c>
      <c r="X23" s="15" t="s">
        <v>280</v>
      </c>
    </row>
    <row r="24" customFormat="false" ht="23.85" hidden="false" customHeight="false" outlineLevel="0" collapsed="false">
      <c r="A24" s="10" t="s">
        <v>281</v>
      </c>
      <c r="B24" s="10" t="s">
        <v>236</v>
      </c>
      <c r="C24" s="10" t="s">
        <v>282</v>
      </c>
      <c r="D24" s="10" t="s">
        <v>283</v>
      </c>
      <c r="E24" s="10" t="s">
        <v>99</v>
      </c>
      <c r="F24" s="10" t="s">
        <v>284</v>
      </c>
      <c r="G24" s="10" t="n">
        <v>2</v>
      </c>
      <c r="H24" s="10" t="s">
        <v>115</v>
      </c>
      <c r="I24" s="10" t="s">
        <v>285</v>
      </c>
      <c r="J24" s="10" t="s">
        <v>286</v>
      </c>
      <c r="K24" s="10" t="s">
        <v>287</v>
      </c>
      <c r="L24" s="10" t="s">
        <v>233</v>
      </c>
      <c r="M24" s="10" t="s">
        <v>106</v>
      </c>
      <c r="N24" s="10"/>
      <c r="P24" s="11" t="s">
        <v>129</v>
      </c>
      <c r="Q24" s="12" t="n">
        <f aca="false">IF(P24="Yes",Scoring!$C$6,IF(P24="Partial",Scoring!$C$7,IF(P24="No",Scoring!$C$8,"")))</f>
        <v>0.5</v>
      </c>
      <c r="R24" s="13" t="n">
        <f aca="false">IF(Q24="",0,G24*Q24)</f>
        <v>1</v>
      </c>
      <c r="S24" s="13" t="n">
        <f aca="false">IF(Q24="",0,G24)</f>
        <v>2</v>
      </c>
      <c r="T24" s="13" t="str">
        <f aca="false">IF(OR(P24="Partial",P24="No"),I24,"")</f>
        <v>Structure navigation around user tasks, test it with users, and monitor search queries to improve labels and results.</v>
      </c>
      <c r="U24" s="14" t="n">
        <f aca="false">IF(Q24="",0,(1-Q24)*G24/SUMIFS($S$2:$S$97,$B$2:$B$97,B24)*INDEX(Scoring!$C$18:$C$27,MATCH(B24,Scoring!$B$18:$B$27,0)))</f>
        <v>0.652173913043478</v>
      </c>
      <c r="V24" s="14" t="n">
        <f aca="false">IF(U24&gt;0,U24+IF(AND(H24="Y",P24="No"),1000,0)+ROW()/100000,0)</f>
        <v>0.652413913043478</v>
      </c>
      <c r="W24" s="10" t="s">
        <v>279</v>
      </c>
      <c r="X24" s="15" t="s">
        <v>280</v>
      </c>
    </row>
    <row r="25" customFormat="false" ht="35.05" hidden="false" customHeight="false" outlineLevel="0" collapsed="false">
      <c r="A25" s="10" t="s">
        <v>288</v>
      </c>
      <c r="B25" s="10" t="s">
        <v>236</v>
      </c>
      <c r="C25" s="10" t="s">
        <v>289</v>
      </c>
      <c r="D25" s="10" t="s">
        <v>290</v>
      </c>
      <c r="E25" s="10" t="s">
        <v>99</v>
      </c>
      <c r="F25" s="10" t="s">
        <v>291</v>
      </c>
      <c r="G25" s="10" t="n">
        <v>2</v>
      </c>
      <c r="H25" s="10" t="s">
        <v>115</v>
      </c>
      <c r="I25" s="10" t="s">
        <v>292</v>
      </c>
      <c r="J25" s="10" t="s">
        <v>293</v>
      </c>
      <c r="K25" s="10"/>
      <c r="L25" s="10" t="s">
        <v>233</v>
      </c>
      <c r="M25" s="10" t="s">
        <v>167</v>
      </c>
      <c r="N25" s="10"/>
      <c r="P25" s="11" t="s">
        <v>108</v>
      </c>
      <c r="Q25" s="12" t="n">
        <f aca="false">IF(P25="Yes",Scoring!$C$6,IF(P25="Partial",Scoring!$C$7,IF(P25="No",Scoring!$C$8,"")))</f>
        <v>1</v>
      </c>
      <c r="R25" s="13" t="n">
        <f aca="false">IF(Q25="",0,G25*Q25)</f>
        <v>2</v>
      </c>
      <c r="S25" s="13" t="n">
        <f aca="false">IF(Q25="",0,G25)</f>
        <v>2</v>
      </c>
      <c r="T25" s="13" t="str">
        <f aca="false">IF(OR(P25="Partial",P25="No"),I25,"")</f>
        <v/>
      </c>
      <c r="U25" s="14" t="n">
        <f aca="false">IF(Q25="",0,(1-Q25)*G25/SUMIFS($S$2:$S$97,$B$2:$B$97,B25)*INDEX(Scoring!$C$18:$C$27,MATCH(B25,Scoring!$B$18:$B$27,0)))</f>
        <v>0</v>
      </c>
      <c r="V25" s="14" t="n">
        <f aca="false">IF(U25&gt;0,U25+IF(AND(H25="Y",P25="No"),1000,0)+ROW()/100000,0)</f>
        <v>0</v>
      </c>
      <c r="W25" s="10" t="s">
        <v>279</v>
      </c>
      <c r="X25" s="15" t="s">
        <v>280</v>
      </c>
    </row>
    <row r="26" customFormat="false" ht="35.05" hidden="false" customHeight="false" outlineLevel="0" collapsed="false">
      <c r="A26" s="10" t="s">
        <v>294</v>
      </c>
      <c r="B26" s="10" t="s">
        <v>236</v>
      </c>
      <c r="C26" s="10" t="s">
        <v>295</v>
      </c>
      <c r="D26" s="10" t="s">
        <v>296</v>
      </c>
      <c r="E26" s="10" t="s">
        <v>99</v>
      </c>
      <c r="F26" s="10" t="s">
        <v>297</v>
      </c>
      <c r="G26" s="10" t="n">
        <v>2</v>
      </c>
      <c r="H26" s="10" t="s">
        <v>115</v>
      </c>
      <c r="I26" s="10" t="s">
        <v>298</v>
      </c>
      <c r="J26" s="10" t="s">
        <v>299</v>
      </c>
      <c r="K26" s="10"/>
      <c r="L26" s="10" t="s">
        <v>233</v>
      </c>
      <c r="M26" s="10" t="s">
        <v>106</v>
      </c>
      <c r="N26" s="10"/>
      <c r="P26" s="11" t="s">
        <v>300</v>
      </c>
      <c r="Q26" s="12" t="n">
        <f aca="false">IF(P26="Yes",Scoring!$C$6,IF(P26="Partial",Scoring!$C$7,IF(P26="No",Scoring!$C$8,"")))</f>
        <v>0</v>
      </c>
      <c r="R26" s="13" t="n">
        <f aca="false">IF(Q26="",0,G26*Q26)</f>
        <v>0</v>
      </c>
      <c r="S26" s="13" t="n">
        <f aca="false">IF(Q26="",0,G26)</f>
        <v>2</v>
      </c>
      <c r="T26" s="13" t="str">
        <f aca="false">IF(OR(P26="Partial",P26="No"),I26,"")</f>
        <v>Use and contribute to a shared design system so components are tested, accessible and consistent across the organisation's services.</v>
      </c>
      <c r="U26" s="14" t="n">
        <f aca="false">IF(Q26="",0,(1-Q26)*G26/SUMIFS($S$2:$S$97,$B$2:$B$97,B26)*INDEX(Scoring!$C$18:$C$27,MATCH(B26,Scoring!$B$18:$B$27,0)))</f>
        <v>1.30434782608696</v>
      </c>
      <c r="V26" s="14" t="n">
        <f aca="false">IF(U26&gt;0,U26+IF(AND(H26="Y",P26="No"),1000,0)+ROW()/100000,0)</f>
        <v>1.30460782608696</v>
      </c>
      <c r="W26" s="10" t="s">
        <v>301</v>
      </c>
      <c r="X26" s="15" t="s">
        <v>302</v>
      </c>
    </row>
    <row r="27" customFormat="false" ht="35.05" hidden="false" customHeight="false" outlineLevel="0" collapsed="false">
      <c r="A27" s="10" t="s">
        <v>303</v>
      </c>
      <c r="B27" s="10" t="s">
        <v>236</v>
      </c>
      <c r="C27" s="10" t="s">
        <v>304</v>
      </c>
      <c r="D27" s="10" t="s">
        <v>305</v>
      </c>
      <c r="E27" s="10" t="s">
        <v>99</v>
      </c>
      <c r="F27" s="10" t="s">
        <v>306</v>
      </c>
      <c r="G27" s="10" t="n">
        <v>2</v>
      </c>
      <c r="H27" s="10" t="s">
        <v>115</v>
      </c>
      <c r="I27" s="10" t="s">
        <v>307</v>
      </c>
      <c r="J27" s="10" t="s">
        <v>308</v>
      </c>
      <c r="K27" s="10"/>
      <c r="L27" s="10" t="s">
        <v>233</v>
      </c>
      <c r="M27" s="10" t="s">
        <v>106</v>
      </c>
      <c r="N27" s="10"/>
      <c r="P27" s="11" t="s">
        <v>108</v>
      </c>
      <c r="Q27" s="12" t="n">
        <f aca="false">IF(P27="Yes",Scoring!$C$6,IF(P27="Partial",Scoring!$C$7,IF(P27="No",Scoring!$C$8,"")))</f>
        <v>1</v>
      </c>
      <c r="R27" s="13" t="n">
        <f aca="false">IF(Q27="",0,G27*Q27)</f>
        <v>2</v>
      </c>
      <c r="S27" s="13" t="n">
        <f aca="false">IF(Q27="",0,G27)</f>
        <v>2</v>
      </c>
      <c r="T27" s="13" t="str">
        <f aca="false">IF(OR(P27="Partial",P27="No"),I27,"")</f>
        <v/>
      </c>
      <c r="U27" s="14" t="n">
        <f aca="false">IF(Q27="",0,(1-Q27)*G27/SUMIFS($S$2:$S$97,$B$2:$B$97,B27)*INDEX(Scoring!$C$18:$C$27,MATCH(B27,Scoring!$B$18:$B$27,0)))</f>
        <v>0</v>
      </c>
      <c r="V27" s="14" t="n">
        <f aca="false">IF(U27&gt;0,U27+IF(AND(H27="Y",P27="No"),1000,0)+ROW()/100000,0)</f>
        <v>0</v>
      </c>
      <c r="W27" s="10" t="s">
        <v>309</v>
      </c>
      <c r="X27" s="15" t="s">
        <v>310</v>
      </c>
    </row>
    <row r="28" customFormat="false" ht="35.05" hidden="false" customHeight="false" outlineLevel="0" collapsed="false">
      <c r="A28" s="10" t="s">
        <v>311</v>
      </c>
      <c r="B28" s="10" t="s">
        <v>236</v>
      </c>
      <c r="C28" s="10" t="s">
        <v>312</v>
      </c>
      <c r="D28" s="10" t="s">
        <v>313</v>
      </c>
      <c r="E28" s="10" t="s">
        <v>99</v>
      </c>
      <c r="F28" s="10" t="s">
        <v>314</v>
      </c>
      <c r="G28" s="10" t="n">
        <v>2</v>
      </c>
      <c r="H28" s="10" t="s">
        <v>115</v>
      </c>
      <c r="I28" s="10" t="s">
        <v>315</v>
      </c>
      <c r="J28" s="10" t="s">
        <v>316</v>
      </c>
      <c r="K28" s="10"/>
      <c r="L28" s="10" t="s">
        <v>233</v>
      </c>
      <c r="M28" s="10" t="s">
        <v>106</v>
      </c>
      <c r="N28" s="10"/>
      <c r="P28" s="11" t="s">
        <v>108</v>
      </c>
      <c r="Q28" s="12" t="n">
        <f aca="false">IF(P28="Yes",Scoring!$C$6,IF(P28="Partial",Scoring!$C$7,IF(P28="No",Scoring!$C$8,"")))</f>
        <v>1</v>
      </c>
      <c r="R28" s="13" t="n">
        <f aca="false">IF(Q28="",0,G28*Q28)</f>
        <v>2</v>
      </c>
      <c r="S28" s="13" t="n">
        <f aca="false">IF(Q28="",0,G28)</f>
        <v>2</v>
      </c>
      <c r="T28" s="13" t="str">
        <f aca="false">IF(OR(P28="Partial",P28="No"),I28,"")</f>
        <v/>
      </c>
      <c r="U28" s="14" t="n">
        <f aca="false">IF(Q28="",0,(1-Q28)*G28/SUMIFS($S$2:$S$97,$B$2:$B$97,B28)*INDEX(Scoring!$C$18:$C$27,MATCH(B28,Scoring!$B$18:$B$27,0)))</f>
        <v>0</v>
      </c>
      <c r="V28" s="14" t="n">
        <f aca="false">IF(U28&gt;0,U28+IF(AND(H28="Y",P28="No"),1000,0)+ROW()/100000,0)</f>
        <v>0</v>
      </c>
      <c r="W28" s="10" t="s">
        <v>317</v>
      </c>
      <c r="X28" s="15" t="s">
        <v>318</v>
      </c>
    </row>
    <row r="29" customFormat="false" ht="23.85" hidden="false" customHeight="false" outlineLevel="0" collapsed="false">
      <c r="A29" s="10" t="s">
        <v>319</v>
      </c>
      <c r="B29" s="10" t="s">
        <v>236</v>
      </c>
      <c r="C29" s="10" t="s">
        <v>320</v>
      </c>
      <c r="D29" s="10" t="s">
        <v>321</v>
      </c>
      <c r="E29" s="10" t="s">
        <v>99</v>
      </c>
      <c r="F29" s="10" t="s">
        <v>322</v>
      </c>
      <c r="G29" s="10" t="n">
        <v>1</v>
      </c>
      <c r="H29" s="10" t="s">
        <v>115</v>
      </c>
      <c r="I29" s="10" t="s">
        <v>323</v>
      </c>
      <c r="J29" s="10" t="s">
        <v>324</v>
      </c>
      <c r="K29" s="10"/>
      <c r="L29" s="10" t="s">
        <v>233</v>
      </c>
      <c r="M29" s="10" t="s">
        <v>106</v>
      </c>
      <c r="N29" s="10"/>
      <c r="P29" s="11" t="s">
        <v>108</v>
      </c>
      <c r="Q29" s="12" t="n">
        <f aca="false">IF(P29="Yes",Scoring!$C$6,IF(P29="Partial",Scoring!$C$7,IF(P29="No",Scoring!$C$8,"")))</f>
        <v>1</v>
      </c>
      <c r="R29" s="13" t="n">
        <f aca="false">IF(Q29="",0,G29*Q29)</f>
        <v>1</v>
      </c>
      <c r="S29" s="13" t="n">
        <f aca="false">IF(Q29="",0,G29)</f>
        <v>1</v>
      </c>
      <c r="T29" s="13" t="str">
        <f aca="false">IF(OR(P29="Partial",P29="No"),I29,"")</f>
        <v/>
      </c>
      <c r="U29" s="14" t="n">
        <f aca="false">IF(Q29="",0,(1-Q29)*G29/SUMIFS($S$2:$S$97,$B$2:$B$97,B29)*INDEX(Scoring!$C$18:$C$27,MATCH(B29,Scoring!$B$18:$B$27,0)))</f>
        <v>0</v>
      </c>
      <c r="V29" s="14" t="n">
        <f aca="false">IF(U29&gt;0,U29+IF(AND(H29="Y",P29="No"),1000,0)+ROW()/100000,0)</f>
        <v>0</v>
      </c>
      <c r="W29" s="10" t="s">
        <v>325</v>
      </c>
      <c r="X29" s="15" t="s">
        <v>326</v>
      </c>
    </row>
    <row r="30" customFormat="false" ht="35.05" hidden="false" customHeight="false" outlineLevel="0" collapsed="false">
      <c r="A30" s="10" t="s">
        <v>327</v>
      </c>
      <c r="B30" s="10" t="s">
        <v>236</v>
      </c>
      <c r="C30" s="10" t="s">
        <v>328</v>
      </c>
      <c r="D30" s="10" t="s">
        <v>329</v>
      </c>
      <c r="E30" s="10" t="s">
        <v>99</v>
      </c>
      <c r="F30" s="10" t="s">
        <v>330</v>
      </c>
      <c r="G30" s="10" t="n">
        <v>1</v>
      </c>
      <c r="H30" s="10" t="s">
        <v>115</v>
      </c>
      <c r="I30" s="10" t="s">
        <v>331</v>
      </c>
      <c r="J30" s="10" t="s">
        <v>332</v>
      </c>
      <c r="K30" s="10" t="s">
        <v>333</v>
      </c>
      <c r="L30" s="10" t="s">
        <v>119</v>
      </c>
      <c r="M30" s="10" t="s">
        <v>167</v>
      </c>
      <c r="N30" s="10"/>
      <c r="P30" s="11" t="s">
        <v>129</v>
      </c>
      <c r="Q30" s="12" t="n">
        <f aca="false">IF(P30="Yes",Scoring!$C$6,IF(P30="Partial",Scoring!$C$7,IF(P30="No",Scoring!$C$8,"")))</f>
        <v>0.5</v>
      </c>
      <c r="R30" s="13" t="n">
        <f aca="false">IF(Q30="",0,G30*Q30)</f>
        <v>0.5</v>
      </c>
      <c r="S30" s="13" t="n">
        <f aca="false">IF(Q30="",0,G30)</f>
        <v>1</v>
      </c>
      <c r="T30" s="13" t="str">
        <f aca="false">IF(OR(P30="Partial",P30="No"),I30,"")</f>
        <v>Remove questions that aren't needed, explain why information is asked for, and reuse information already held where the law allows.</v>
      </c>
      <c r="U30" s="14" t="n">
        <f aca="false">IF(Q30="",0,(1-Q30)*G30/SUMIFS($S$2:$S$97,$B$2:$B$97,B30)*INDEX(Scoring!$C$18:$C$27,MATCH(B30,Scoring!$B$18:$B$27,0)))</f>
        <v>0.326086956521739</v>
      </c>
      <c r="V30" s="14" t="n">
        <f aca="false">IF(U30&gt;0,U30+IF(AND(H30="Y",P30="No"),1000,0)+ROW()/100000,0)</f>
        <v>0.326386956521739</v>
      </c>
      <c r="W30" s="10" t="s">
        <v>333</v>
      </c>
      <c r="X30" s="15" t="s">
        <v>334</v>
      </c>
    </row>
    <row r="31" customFormat="false" ht="57.45" hidden="false" customHeight="false" outlineLevel="0" collapsed="false">
      <c r="A31" s="10" t="s">
        <v>335</v>
      </c>
      <c r="B31" s="10" t="s">
        <v>336</v>
      </c>
      <c r="C31" s="10" t="s">
        <v>337</v>
      </c>
      <c r="D31" s="10" t="s">
        <v>338</v>
      </c>
      <c r="E31" s="10" t="s">
        <v>99</v>
      </c>
      <c r="F31" s="10" t="s">
        <v>339</v>
      </c>
      <c r="G31" s="10" t="n">
        <v>3</v>
      </c>
      <c r="H31" s="10" t="s">
        <v>115</v>
      </c>
      <c r="I31" s="10" t="s">
        <v>340</v>
      </c>
      <c r="J31" s="10" t="s">
        <v>341</v>
      </c>
      <c r="K31" s="10" t="s">
        <v>341</v>
      </c>
      <c r="L31" s="10" t="s">
        <v>105</v>
      </c>
      <c r="M31" s="10" t="s">
        <v>216</v>
      </c>
      <c r="N31" s="10" t="s">
        <v>342</v>
      </c>
      <c r="P31" s="11" t="s">
        <v>108</v>
      </c>
      <c r="Q31" s="12" t="n">
        <f aca="false">IF(P31="Yes",Scoring!$C$6,IF(P31="Partial",Scoring!$C$7,IF(P31="No",Scoring!$C$8,"")))</f>
        <v>1</v>
      </c>
      <c r="R31" s="13" t="n">
        <f aca="false">IF(Q31="",0,G31*Q31)</f>
        <v>3</v>
      </c>
      <c r="S31" s="13" t="n">
        <f aca="false">IF(Q31="",0,G31)</f>
        <v>3</v>
      </c>
      <c r="T31" s="13" t="str">
        <f aca="false">IF(OR(P31="Partial",P31="No"),I31,"")</f>
        <v/>
      </c>
      <c r="U31" s="14" t="n">
        <f aca="false">IF(Q31="",0,(1-Q31)*G31/SUMIFS($S$2:$S$97,$B$2:$B$97,B31)*INDEX(Scoring!$C$18:$C$27,MATCH(B31,Scoring!$B$18:$B$27,0)))</f>
        <v>0</v>
      </c>
      <c r="V31" s="14" t="n">
        <f aca="false">IF(U31&gt;0,U31+IF(AND(H31="Y",P31="No"),1000,0)+ROW()/100000,0)</f>
        <v>0</v>
      </c>
      <c r="W31" s="10" t="s">
        <v>341</v>
      </c>
      <c r="X31" s="15" t="s">
        <v>343</v>
      </c>
    </row>
    <row r="32" customFormat="false" ht="35.05" hidden="false" customHeight="false" outlineLevel="0" collapsed="false">
      <c r="A32" s="10" t="s">
        <v>344</v>
      </c>
      <c r="B32" s="10" t="s">
        <v>336</v>
      </c>
      <c r="C32" s="10" t="s">
        <v>345</v>
      </c>
      <c r="D32" s="10" t="s">
        <v>346</v>
      </c>
      <c r="E32" s="10" t="s">
        <v>99</v>
      </c>
      <c r="F32" s="10" t="s">
        <v>347</v>
      </c>
      <c r="G32" s="10" t="n">
        <v>2</v>
      </c>
      <c r="H32" s="10" t="s">
        <v>115</v>
      </c>
      <c r="I32" s="10" t="s">
        <v>348</v>
      </c>
      <c r="J32" s="10" t="s">
        <v>349</v>
      </c>
      <c r="K32" s="10" t="s">
        <v>350</v>
      </c>
      <c r="L32" s="10" t="s">
        <v>233</v>
      </c>
      <c r="M32" s="10" t="s">
        <v>106</v>
      </c>
      <c r="N32" s="10" t="s">
        <v>351</v>
      </c>
      <c r="P32" s="11" t="s">
        <v>300</v>
      </c>
      <c r="Q32" s="12" t="n">
        <f aca="false">IF(P32="Yes",Scoring!$C$6,IF(P32="Partial",Scoring!$C$7,IF(P32="No",Scoring!$C$8,"")))</f>
        <v>0</v>
      </c>
      <c r="R32" s="13" t="n">
        <f aca="false">IF(Q32="",0,G32*Q32)</f>
        <v>0</v>
      </c>
      <c r="S32" s="13" t="n">
        <f aca="false">IF(Q32="",0,G32)</f>
        <v>2</v>
      </c>
      <c r="T32" s="13" t="str">
        <f aca="false">IF(OR(P32="Partial",P32="No"),I32,"")</f>
        <v>Apply the organisation's tone of voice guidelines to all service content, including error messages, emails and letters, and review content against them.</v>
      </c>
      <c r="U32" s="14" t="n">
        <f aca="false">IF(Q32="",0,(1-Q32)*G32/SUMIFS($S$2:$S$97,$B$2:$B$97,B32)*INDEX(Scoring!$C$18:$C$27,MATCH(B32,Scoring!$B$18:$B$27,0)))</f>
        <v>1.33333333333333</v>
      </c>
      <c r="V32" s="14" t="n">
        <f aca="false">IF(U32&gt;0,U32+IF(AND(H32="Y",P32="No"),1000,0)+ROW()/100000,0)</f>
        <v>1.33365333333333</v>
      </c>
      <c r="W32" s="10" t="s">
        <v>352</v>
      </c>
      <c r="X32" s="10"/>
    </row>
    <row r="33" customFormat="false" ht="23.85" hidden="false" customHeight="false" outlineLevel="0" collapsed="false">
      <c r="A33" s="10" t="s">
        <v>353</v>
      </c>
      <c r="B33" s="10" t="s">
        <v>336</v>
      </c>
      <c r="C33" s="10" t="s">
        <v>354</v>
      </c>
      <c r="D33" s="10" t="s">
        <v>355</v>
      </c>
      <c r="E33" s="10" t="s">
        <v>99</v>
      </c>
      <c r="F33" s="10" t="s">
        <v>356</v>
      </c>
      <c r="G33" s="10" t="n">
        <v>1</v>
      </c>
      <c r="H33" s="10" t="s">
        <v>115</v>
      </c>
      <c r="I33" s="10" t="s">
        <v>357</v>
      </c>
      <c r="J33" s="10" t="s">
        <v>358</v>
      </c>
      <c r="K33" s="10"/>
      <c r="L33" s="10" t="s">
        <v>233</v>
      </c>
      <c r="M33" s="10" t="s">
        <v>106</v>
      </c>
      <c r="N33" s="10"/>
      <c r="P33" s="11" t="s">
        <v>108</v>
      </c>
      <c r="Q33" s="12" t="n">
        <f aca="false">IF(P33="Yes",Scoring!$C$6,IF(P33="Partial",Scoring!$C$7,IF(P33="No",Scoring!$C$8,"")))</f>
        <v>1</v>
      </c>
      <c r="R33" s="13" t="n">
        <f aca="false">IF(Q33="",0,G33*Q33)</f>
        <v>1</v>
      </c>
      <c r="S33" s="13" t="n">
        <f aca="false">IF(Q33="",0,G33)</f>
        <v>1</v>
      </c>
      <c r="T33" s="13" t="str">
        <f aca="false">IF(OR(P33="Partial",P33="No"),I33,"")</f>
        <v/>
      </c>
      <c r="U33" s="14" t="n">
        <f aca="false">IF(Q33="",0,(1-Q33)*G33/SUMIFS($S$2:$S$97,$B$2:$B$97,B33)*INDEX(Scoring!$C$18:$C$27,MATCH(B33,Scoring!$B$18:$B$27,0)))</f>
        <v>0</v>
      </c>
      <c r="V33" s="14" t="n">
        <f aca="false">IF(U33&gt;0,U33+IF(AND(H33="Y",P33="No"),1000,0)+ROW()/100000,0)</f>
        <v>0</v>
      </c>
      <c r="W33" s="10" t="s">
        <v>359</v>
      </c>
      <c r="X33" s="10"/>
    </row>
    <row r="34" customFormat="false" ht="35.05" hidden="false" customHeight="false" outlineLevel="0" collapsed="false">
      <c r="A34" s="10" t="s">
        <v>360</v>
      </c>
      <c r="B34" s="10" t="s">
        <v>336</v>
      </c>
      <c r="C34" s="10" t="s">
        <v>361</v>
      </c>
      <c r="D34" s="10" t="s">
        <v>362</v>
      </c>
      <c r="E34" s="10" t="s">
        <v>99</v>
      </c>
      <c r="F34" s="10" t="s">
        <v>363</v>
      </c>
      <c r="G34" s="10" t="n">
        <v>2</v>
      </c>
      <c r="H34" s="10" t="s">
        <v>115</v>
      </c>
      <c r="I34" s="10" t="s">
        <v>364</v>
      </c>
      <c r="J34" s="10" t="s">
        <v>365</v>
      </c>
      <c r="K34" s="10"/>
      <c r="L34" s="10" t="s">
        <v>233</v>
      </c>
      <c r="M34" s="10" t="s">
        <v>106</v>
      </c>
      <c r="N34" s="10"/>
      <c r="P34" s="11" t="s">
        <v>129</v>
      </c>
      <c r="Q34" s="12" t="n">
        <f aca="false">IF(P34="Yes",Scoring!$C$6,IF(P34="Partial",Scoring!$C$7,IF(P34="No",Scoring!$C$8,"")))</f>
        <v>0.5</v>
      </c>
      <c r="R34" s="13" t="n">
        <f aca="false">IF(Q34="",0,G34*Q34)</f>
        <v>1</v>
      </c>
      <c r="S34" s="13" t="n">
        <f aca="false">IF(Q34="",0,G34)</f>
        <v>2</v>
      </c>
      <c r="T34" s="13" t="str">
        <f aca="false">IF(OR(P34="Partial",P34="No"),I34,"")</f>
        <v>Keep one authoritative source for each piece of service information, remove or redirect duplicates, and check consistency with call centre scripts and printed material.</v>
      </c>
      <c r="U34" s="14" t="n">
        <f aca="false">IF(Q34="",0,(1-Q34)*G34/SUMIFS($S$2:$S$97,$B$2:$B$97,B34)*INDEX(Scoring!$C$18:$C$27,MATCH(B34,Scoring!$B$18:$B$27,0)))</f>
        <v>0.666666666666667</v>
      </c>
      <c r="V34" s="14" t="n">
        <f aca="false">IF(U34&gt;0,U34+IF(AND(H34="Y",P34="No"),1000,0)+ROW()/100000,0)</f>
        <v>0.667006666666667</v>
      </c>
      <c r="W34" s="10" t="s">
        <v>366</v>
      </c>
      <c r="X34" s="15" t="s">
        <v>367</v>
      </c>
    </row>
    <row r="35" customFormat="false" ht="23.85" hidden="false" customHeight="false" outlineLevel="0" collapsed="false">
      <c r="A35" s="10" t="s">
        <v>368</v>
      </c>
      <c r="B35" s="10" t="s">
        <v>336</v>
      </c>
      <c r="C35" s="10" t="s">
        <v>369</v>
      </c>
      <c r="D35" s="10" t="s">
        <v>370</v>
      </c>
      <c r="E35" s="10" t="s">
        <v>99</v>
      </c>
      <c r="F35" s="10" t="s">
        <v>371</v>
      </c>
      <c r="G35" s="10" t="n">
        <v>1</v>
      </c>
      <c r="H35" s="10" t="s">
        <v>115</v>
      </c>
      <c r="I35" s="10" t="s">
        <v>372</v>
      </c>
      <c r="J35" s="10" t="s">
        <v>373</v>
      </c>
      <c r="K35" s="10" t="s">
        <v>137</v>
      </c>
      <c r="L35" s="10" t="s">
        <v>105</v>
      </c>
      <c r="M35" s="10" t="s">
        <v>106</v>
      </c>
      <c r="N35" s="10"/>
      <c r="P35" s="11" t="s">
        <v>108</v>
      </c>
      <c r="Q35" s="12" t="n">
        <f aca="false">IF(P35="Yes",Scoring!$C$6,IF(P35="Partial",Scoring!$C$7,IF(P35="No",Scoring!$C$8,"")))</f>
        <v>1</v>
      </c>
      <c r="R35" s="13" t="n">
        <f aca="false">IF(Q35="",0,G35*Q35)</f>
        <v>1</v>
      </c>
      <c r="S35" s="13" t="n">
        <f aca="false">IF(Q35="",0,G35)</f>
        <v>1</v>
      </c>
      <c r="T35" s="13" t="str">
        <f aca="false">IF(OR(P35="Partial",P35="No"),I35,"")</f>
        <v/>
      </c>
      <c r="U35" s="14" t="n">
        <f aca="false">IF(Q35="",0,(1-Q35)*G35/SUMIFS($S$2:$S$97,$B$2:$B$97,B35)*INDEX(Scoring!$C$18:$C$27,MATCH(B35,Scoring!$B$18:$B$27,0)))</f>
        <v>0</v>
      </c>
      <c r="V35" s="14" t="n">
        <f aca="false">IF(U35&gt;0,U35+IF(AND(H35="Y",P35="No"),1000,0)+ROW()/100000,0)</f>
        <v>0</v>
      </c>
      <c r="W35" s="10" t="s">
        <v>130</v>
      </c>
      <c r="X35" s="15" t="s">
        <v>131</v>
      </c>
    </row>
    <row r="36" customFormat="false" ht="35.05" hidden="false" customHeight="false" outlineLevel="0" collapsed="false">
      <c r="A36" s="10" t="s">
        <v>374</v>
      </c>
      <c r="B36" s="10" t="s">
        <v>336</v>
      </c>
      <c r="C36" s="10" t="s">
        <v>375</v>
      </c>
      <c r="D36" s="10" t="s">
        <v>376</v>
      </c>
      <c r="E36" s="10" t="s">
        <v>99</v>
      </c>
      <c r="F36" s="10" t="s">
        <v>377</v>
      </c>
      <c r="G36" s="10" t="n">
        <v>1</v>
      </c>
      <c r="H36" s="10" t="s">
        <v>115</v>
      </c>
      <c r="I36" s="10" t="s">
        <v>378</v>
      </c>
      <c r="J36" s="10" t="s">
        <v>379</v>
      </c>
      <c r="K36" s="10"/>
      <c r="L36" s="10" t="s">
        <v>119</v>
      </c>
      <c r="M36" s="10" t="s">
        <v>106</v>
      </c>
      <c r="N36" s="10"/>
      <c r="P36" s="11" t="s">
        <v>108</v>
      </c>
      <c r="Q36" s="12" t="n">
        <f aca="false">IF(P36="Yes",Scoring!$C$6,IF(P36="Partial",Scoring!$C$7,IF(P36="No",Scoring!$C$8,"")))</f>
        <v>1</v>
      </c>
      <c r="R36" s="13" t="n">
        <f aca="false">IF(Q36="",0,G36*Q36)</f>
        <v>1</v>
      </c>
      <c r="S36" s="13" t="n">
        <f aca="false">IF(Q36="",0,G36)</f>
        <v>1</v>
      </c>
      <c r="T36" s="13" t="str">
        <f aca="false">IF(OR(P36="Partial",P36="No"),I36,"")</f>
        <v/>
      </c>
      <c r="U36" s="14" t="n">
        <f aca="false">IF(Q36="",0,(1-Q36)*G36/SUMIFS($S$2:$S$97,$B$2:$B$97,B36)*INDEX(Scoring!$C$18:$C$27,MATCH(B36,Scoring!$B$18:$B$27,0)))</f>
        <v>0</v>
      </c>
      <c r="V36" s="14" t="n">
        <f aca="false">IF(U36&gt;0,U36+IF(AND(H36="Y",P36="No"),1000,0)+ROW()/100000,0)</f>
        <v>0</v>
      </c>
      <c r="W36" s="10" t="s">
        <v>380</v>
      </c>
      <c r="X36" s="15" t="s">
        <v>381</v>
      </c>
    </row>
    <row r="37" customFormat="false" ht="23.85" hidden="false" customHeight="false" outlineLevel="0" collapsed="false">
      <c r="A37" s="10" t="s">
        <v>382</v>
      </c>
      <c r="B37" s="10" t="s">
        <v>336</v>
      </c>
      <c r="C37" s="10" t="s">
        <v>383</v>
      </c>
      <c r="D37" s="10" t="s">
        <v>384</v>
      </c>
      <c r="E37" s="10" t="s">
        <v>99</v>
      </c>
      <c r="F37" s="10" t="s">
        <v>385</v>
      </c>
      <c r="G37" s="10" t="n">
        <v>1</v>
      </c>
      <c r="H37" s="10" t="s">
        <v>115</v>
      </c>
      <c r="I37" s="10" t="s">
        <v>386</v>
      </c>
      <c r="J37" s="10" t="s">
        <v>387</v>
      </c>
      <c r="K37" s="10" t="s">
        <v>388</v>
      </c>
      <c r="L37" s="10" t="s">
        <v>119</v>
      </c>
      <c r="M37" s="10" t="s">
        <v>216</v>
      </c>
      <c r="N37" s="10"/>
      <c r="P37" s="11" t="s">
        <v>129</v>
      </c>
      <c r="Q37" s="12" t="n">
        <f aca="false">IF(P37="Yes",Scoring!$C$6,IF(P37="Partial",Scoring!$C$7,IF(P37="No",Scoring!$C$8,"")))</f>
        <v>0.5</v>
      </c>
      <c r="R37" s="13" t="n">
        <f aca="false">IF(Q37="",0,G37*Q37)</f>
        <v>0.5</v>
      </c>
      <c r="S37" s="13" t="n">
        <f aca="false">IF(Q37="",0,G37)</f>
        <v>1</v>
      </c>
      <c r="T37" s="13" t="str">
        <f aca="false">IF(OR(P37="Partial",P37="No"),I37,"")</f>
        <v>Provide key information in alternative formats and offer a simple way to request others.</v>
      </c>
      <c r="U37" s="14" t="n">
        <f aca="false">IF(Q37="",0,(1-Q37)*G37/SUMIFS($S$2:$S$97,$B$2:$B$97,B37)*INDEX(Scoring!$C$18:$C$27,MATCH(B37,Scoring!$B$18:$B$27,0)))</f>
        <v>0.333333333333333</v>
      </c>
      <c r="V37" s="14" t="n">
        <f aca="false">IF(U37&gt;0,U37+IF(AND(H37="Y",P37="No"),1000,0)+ROW()/100000,0)</f>
        <v>0.333703333333333</v>
      </c>
      <c r="W37" s="10" t="s">
        <v>389</v>
      </c>
      <c r="X37" s="15" t="s">
        <v>390</v>
      </c>
    </row>
    <row r="38" customFormat="false" ht="23.85" hidden="false" customHeight="false" outlineLevel="0" collapsed="false">
      <c r="A38" s="10" t="s">
        <v>391</v>
      </c>
      <c r="B38" s="10" t="s">
        <v>336</v>
      </c>
      <c r="C38" s="10" t="s">
        <v>392</v>
      </c>
      <c r="D38" s="10" t="s">
        <v>393</v>
      </c>
      <c r="E38" s="10" t="s">
        <v>99</v>
      </c>
      <c r="F38" s="10" t="s">
        <v>394</v>
      </c>
      <c r="G38" s="10" t="n">
        <v>1</v>
      </c>
      <c r="H38" s="10" t="s">
        <v>115</v>
      </c>
      <c r="I38" s="10" t="s">
        <v>395</v>
      </c>
      <c r="J38" s="10" t="s">
        <v>396</v>
      </c>
      <c r="K38" s="10"/>
      <c r="L38" s="10" t="s">
        <v>233</v>
      </c>
      <c r="M38" s="10" t="s">
        <v>216</v>
      </c>
      <c r="N38" s="10"/>
      <c r="P38" s="11" t="s">
        <v>108</v>
      </c>
      <c r="Q38" s="12" t="n">
        <f aca="false">IF(P38="Yes",Scoring!$C$6,IF(P38="Partial",Scoring!$C$7,IF(P38="No",Scoring!$C$8,"")))</f>
        <v>1</v>
      </c>
      <c r="R38" s="13" t="n">
        <f aca="false">IF(Q38="",0,G38*Q38)</f>
        <v>1</v>
      </c>
      <c r="S38" s="13" t="n">
        <f aca="false">IF(Q38="",0,G38)</f>
        <v>1</v>
      </c>
      <c r="T38" s="13" t="str">
        <f aca="false">IF(OR(P38="Partial",P38="No"),I38,"")</f>
        <v/>
      </c>
      <c r="U38" s="14" t="n">
        <f aca="false">IF(Q38="",0,(1-Q38)*G38/SUMIFS($S$2:$S$97,$B$2:$B$97,B38)*INDEX(Scoring!$C$18:$C$27,MATCH(B38,Scoring!$B$18:$B$27,0)))</f>
        <v>0</v>
      </c>
      <c r="V38" s="14" t="n">
        <f aca="false">IF(U38&gt;0,U38+IF(AND(H38="Y",P38="No"),1000,0)+ROW()/100000,0)</f>
        <v>0</v>
      </c>
      <c r="W38" s="10" t="s">
        <v>397</v>
      </c>
      <c r="X38" s="15" t="s">
        <v>398</v>
      </c>
    </row>
    <row r="39" customFormat="false" ht="35.05" hidden="false" customHeight="false" outlineLevel="0" collapsed="false">
      <c r="A39" s="10" t="s">
        <v>399</v>
      </c>
      <c r="B39" s="10" t="s">
        <v>400</v>
      </c>
      <c r="C39" s="10" t="s">
        <v>401</v>
      </c>
      <c r="D39" s="10" t="s">
        <v>402</v>
      </c>
      <c r="E39" s="10" t="s">
        <v>99</v>
      </c>
      <c r="F39" s="10" t="s">
        <v>403</v>
      </c>
      <c r="G39" s="10" t="n">
        <v>3</v>
      </c>
      <c r="H39" s="10" t="s">
        <v>115</v>
      </c>
      <c r="I39" s="10" t="s">
        <v>404</v>
      </c>
      <c r="J39" s="10" t="s">
        <v>405</v>
      </c>
      <c r="K39" s="10" t="s">
        <v>350</v>
      </c>
      <c r="L39" s="10" t="s">
        <v>233</v>
      </c>
      <c r="M39" s="10" t="s">
        <v>106</v>
      </c>
      <c r="N39" s="10"/>
      <c r="P39" s="11" t="s">
        <v>300</v>
      </c>
      <c r="Q39" s="12" t="n">
        <f aca="false">IF(P39="Yes",Scoring!$C$6,IF(P39="Partial",Scoring!$C$7,IF(P39="No",Scoring!$C$8,"")))</f>
        <v>0</v>
      </c>
      <c r="R39" s="13" t="n">
        <f aca="false">IF(Q39="",0,G39*Q39)</f>
        <v>0</v>
      </c>
      <c r="S39" s="13" t="n">
        <f aca="false">IF(Q39="",0,G39)</f>
        <v>3</v>
      </c>
      <c r="T39" s="13" t="str">
        <f aca="false">IF(OR(P39="Partial",P39="No"),I39,"")</f>
        <v>Apply the organisation's brand guidelines, including font types, colour palette and styling, to minimise experience inconsistency across applications.</v>
      </c>
      <c r="U39" s="14" t="n">
        <f aca="false">IF(Q39="",0,(1-Q39)*G39/SUMIFS($S$2:$S$97,$B$2:$B$97,B39)*INDEX(Scoring!$C$18:$C$27,MATCH(B39,Scoring!$B$18:$B$27,0)))</f>
        <v>1.5</v>
      </c>
      <c r="V39" s="14" t="n">
        <f aca="false">IF(U39&gt;0,U39+IF(AND(H39="Y",P39="No"),1000,0)+ROW()/100000,0)</f>
        <v>1.50039</v>
      </c>
      <c r="W39" s="10" t="s">
        <v>406</v>
      </c>
      <c r="X39" s="10"/>
    </row>
    <row r="40" customFormat="false" ht="35.05" hidden="false" customHeight="false" outlineLevel="0" collapsed="false">
      <c r="A40" s="10" t="s">
        <v>407</v>
      </c>
      <c r="B40" s="10" t="s">
        <v>400</v>
      </c>
      <c r="C40" s="10" t="s">
        <v>408</v>
      </c>
      <c r="D40" s="10" t="s">
        <v>409</v>
      </c>
      <c r="E40" s="10" t="s">
        <v>99</v>
      </c>
      <c r="F40" s="10" t="s">
        <v>410</v>
      </c>
      <c r="G40" s="10" t="n">
        <v>2</v>
      </c>
      <c r="H40" s="10" t="s">
        <v>115</v>
      </c>
      <c r="I40" s="10" t="s">
        <v>411</v>
      </c>
      <c r="J40" s="10" t="s">
        <v>412</v>
      </c>
      <c r="K40" s="10" t="s">
        <v>413</v>
      </c>
      <c r="L40" s="10" t="s">
        <v>105</v>
      </c>
      <c r="M40" s="10" t="s">
        <v>216</v>
      </c>
      <c r="N40" s="10" t="s">
        <v>414</v>
      </c>
      <c r="P40" s="11" t="s">
        <v>108</v>
      </c>
      <c r="Q40" s="12" t="n">
        <f aca="false">IF(P40="Yes",Scoring!$C$6,IF(P40="Partial",Scoring!$C$7,IF(P40="No",Scoring!$C$8,"")))</f>
        <v>1</v>
      </c>
      <c r="R40" s="13" t="n">
        <f aca="false">IF(Q40="",0,G40*Q40)</f>
        <v>2</v>
      </c>
      <c r="S40" s="13" t="n">
        <f aca="false">IF(Q40="",0,G40)</f>
        <v>2</v>
      </c>
      <c r="T40" s="13" t="str">
        <f aca="false">IF(OR(P40="Partial",P40="No"),I40,"")</f>
        <v/>
      </c>
      <c r="U40" s="14" t="n">
        <f aca="false">IF(Q40="",0,(1-Q40)*G40/SUMIFS($S$2:$S$97,$B$2:$B$97,B40)*INDEX(Scoring!$C$18:$C$27,MATCH(B40,Scoring!$B$18:$B$27,0)))</f>
        <v>0</v>
      </c>
      <c r="V40" s="14" t="n">
        <f aca="false">IF(U40&gt;0,U40+IF(AND(H40="Y",P40="No"),1000,0)+ROW()/100000,0)</f>
        <v>0</v>
      </c>
      <c r="W40" s="10" t="s">
        <v>415</v>
      </c>
      <c r="X40" s="15" t="s">
        <v>416</v>
      </c>
    </row>
    <row r="41" customFormat="false" ht="23.85" hidden="false" customHeight="false" outlineLevel="0" collapsed="false">
      <c r="A41" s="10" t="s">
        <v>417</v>
      </c>
      <c r="B41" s="10" t="s">
        <v>400</v>
      </c>
      <c r="C41" s="10" t="s">
        <v>418</v>
      </c>
      <c r="D41" s="10" t="s">
        <v>419</v>
      </c>
      <c r="E41" s="10" t="s">
        <v>99</v>
      </c>
      <c r="F41" s="10" t="s">
        <v>420</v>
      </c>
      <c r="G41" s="10" t="n">
        <v>2</v>
      </c>
      <c r="H41" s="10" t="s">
        <v>115</v>
      </c>
      <c r="I41" s="10" t="s">
        <v>421</v>
      </c>
      <c r="J41" s="10" t="s">
        <v>149</v>
      </c>
      <c r="K41" s="10" t="s">
        <v>150</v>
      </c>
      <c r="L41" s="10" t="s">
        <v>119</v>
      </c>
      <c r="M41" s="10" t="s">
        <v>106</v>
      </c>
      <c r="N41" s="10"/>
      <c r="P41" s="11" t="s">
        <v>108</v>
      </c>
      <c r="Q41" s="12" t="n">
        <f aca="false">IF(P41="Yes",Scoring!$C$6,IF(P41="Partial",Scoring!$C$7,IF(P41="No",Scoring!$C$8,"")))</f>
        <v>1</v>
      </c>
      <c r="R41" s="13" t="n">
        <f aca="false">IF(Q41="",0,G41*Q41)</f>
        <v>2</v>
      </c>
      <c r="S41" s="13" t="n">
        <f aca="false">IF(Q41="",0,G41)</f>
        <v>2</v>
      </c>
      <c r="T41" s="13" t="str">
        <f aca="false">IF(OR(P41="Partial",P41="No"),I41,"")</f>
        <v/>
      </c>
      <c r="U41" s="14" t="n">
        <f aca="false">IF(Q41="",0,(1-Q41)*G41/SUMIFS($S$2:$S$97,$B$2:$B$97,B41)*INDEX(Scoring!$C$18:$C$27,MATCH(B41,Scoring!$B$18:$B$27,0)))</f>
        <v>0</v>
      </c>
      <c r="V41" s="14" t="n">
        <f aca="false">IF(U41&gt;0,U41+IF(AND(H41="Y",P41="No"),1000,0)+ROW()/100000,0)</f>
        <v>0</v>
      </c>
      <c r="W41" s="10" t="s">
        <v>130</v>
      </c>
      <c r="X41" s="15" t="s">
        <v>131</v>
      </c>
    </row>
    <row r="42" customFormat="false" ht="35.05" hidden="false" customHeight="false" outlineLevel="0" collapsed="false">
      <c r="A42" s="10" t="s">
        <v>422</v>
      </c>
      <c r="B42" s="10" t="s">
        <v>400</v>
      </c>
      <c r="C42" s="10" t="s">
        <v>423</v>
      </c>
      <c r="D42" s="10" t="s">
        <v>424</v>
      </c>
      <c r="E42" s="10" t="s">
        <v>99</v>
      </c>
      <c r="F42" s="10" t="s">
        <v>425</v>
      </c>
      <c r="G42" s="10" t="n">
        <v>2</v>
      </c>
      <c r="H42" s="10" t="s">
        <v>115</v>
      </c>
      <c r="I42" s="10" t="s">
        <v>426</v>
      </c>
      <c r="J42" s="10" t="s">
        <v>427</v>
      </c>
      <c r="K42" s="10"/>
      <c r="L42" s="10" t="s">
        <v>233</v>
      </c>
      <c r="M42" s="10" t="s">
        <v>106</v>
      </c>
      <c r="N42" s="10"/>
      <c r="P42" s="11" t="s">
        <v>108</v>
      </c>
      <c r="Q42" s="12" t="n">
        <f aca="false">IF(P42="Yes",Scoring!$C$6,IF(P42="Partial",Scoring!$C$7,IF(P42="No",Scoring!$C$8,"")))</f>
        <v>1</v>
      </c>
      <c r="R42" s="13" t="n">
        <f aca="false">IF(Q42="",0,G42*Q42)</f>
        <v>2</v>
      </c>
      <c r="S42" s="13" t="n">
        <f aca="false">IF(Q42="",0,G42)</f>
        <v>2</v>
      </c>
      <c r="T42" s="13" t="str">
        <f aca="false">IF(OR(P42="Partial",P42="No"),I42,"")</f>
        <v/>
      </c>
      <c r="U42" s="14" t="n">
        <f aca="false">IF(Q42="",0,(1-Q42)*G42/SUMIFS($S$2:$S$97,$B$2:$B$97,B42)*INDEX(Scoring!$C$18:$C$27,MATCH(B42,Scoring!$B$18:$B$27,0)))</f>
        <v>0</v>
      </c>
      <c r="V42" s="14" t="n">
        <f aca="false">IF(U42&gt;0,U42+IF(AND(H42="Y",P42="No"),1000,0)+ROW()/100000,0)</f>
        <v>0</v>
      </c>
      <c r="W42" s="10" t="s">
        <v>279</v>
      </c>
      <c r="X42" s="15" t="s">
        <v>280</v>
      </c>
    </row>
    <row r="43" customFormat="false" ht="35.05" hidden="false" customHeight="false" outlineLevel="0" collapsed="false">
      <c r="A43" s="10" t="s">
        <v>428</v>
      </c>
      <c r="B43" s="10" t="s">
        <v>400</v>
      </c>
      <c r="C43" s="10" t="s">
        <v>429</v>
      </c>
      <c r="D43" s="10" t="s">
        <v>430</v>
      </c>
      <c r="E43" s="10" t="s">
        <v>99</v>
      </c>
      <c r="F43" s="10" t="s">
        <v>431</v>
      </c>
      <c r="G43" s="10" t="n">
        <v>2</v>
      </c>
      <c r="H43" s="10" t="s">
        <v>115</v>
      </c>
      <c r="I43" s="10" t="s">
        <v>432</v>
      </c>
      <c r="J43" s="10" t="s">
        <v>433</v>
      </c>
      <c r="K43" s="10"/>
      <c r="L43" s="10" t="s">
        <v>119</v>
      </c>
      <c r="M43" s="10" t="s">
        <v>216</v>
      </c>
      <c r="N43" s="10"/>
      <c r="P43" s="11" t="s">
        <v>129</v>
      </c>
      <c r="Q43" s="12" t="n">
        <f aca="false">IF(P43="Yes",Scoring!$C$6,IF(P43="Partial",Scoring!$C$7,IF(P43="No",Scoring!$C$8,"")))</f>
        <v>0.5</v>
      </c>
      <c r="R43" s="13" t="n">
        <f aca="false">IF(Q43="",0,G43*Q43)</f>
        <v>1</v>
      </c>
      <c r="S43" s="13" t="n">
        <f aca="false">IF(Q43="",0,G43)</f>
        <v>2</v>
      </c>
      <c r="T43" s="13" t="str">
        <f aca="false">IF(OR(P43="Partial",P43="No"),I43,"")</f>
        <v>Host the service on a .govt.nz or other approved government domain and avoid third-party domains that could be mistaken for scams.</v>
      </c>
      <c r="U43" s="14" t="n">
        <f aca="false">IF(Q43="",0,(1-Q43)*G43/SUMIFS($S$2:$S$97,$B$2:$B$97,B43)*INDEX(Scoring!$C$18:$C$27,MATCH(B43,Scoring!$B$18:$B$27,0)))</f>
        <v>0.5</v>
      </c>
      <c r="V43" s="14" t="n">
        <f aca="false">IF(U43&gt;0,U43+IF(AND(H43="Y",P43="No"),1000,0)+ROW()/100000,0)</f>
        <v>0.50043</v>
      </c>
      <c r="W43" s="10" t="s">
        <v>434</v>
      </c>
      <c r="X43" s="15" t="s">
        <v>435</v>
      </c>
    </row>
    <row r="44" customFormat="false" ht="23.85" hidden="false" customHeight="false" outlineLevel="0" collapsed="false">
      <c r="A44" s="10" t="s">
        <v>436</v>
      </c>
      <c r="B44" s="10" t="s">
        <v>400</v>
      </c>
      <c r="C44" s="10" t="s">
        <v>437</v>
      </c>
      <c r="D44" s="10" t="s">
        <v>438</v>
      </c>
      <c r="E44" s="10" t="s">
        <v>99</v>
      </c>
      <c r="F44" s="10" t="s">
        <v>439</v>
      </c>
      <c r="G44" s="10" t="n">
        <v>1</v>
      </c>
      <c r="H44" s="10" t="s">
        <v>115</v>
      </c>
      <c r="I44" s="10" t="s">
        <v>440</v>
      </c>
      <c r="J44" s="10" t="s">
        <v>233</v>
      </c>
      <c r="K44" s="10"/>
      <c r="L44" s="10" t="s">
        <v>233</v>
      </c>
      <c r="M44" s="10" t="s">
        <v>106</v>
      </c>
      <c r="N44" s="10"/>
      <c r="P44" s="11" t="s">
        <v>108</v>
      </c>
      <c r="Q44" s="12" t="n">
        <f aca="false">IF(P44="Yes",Scoring!$C$6,IF(P44="Partial",Scoring!$C$7,IF(P44="No",Scoring!$C$8,"")))</f>
        <v>1</v>
      </c>
      <c r="R44" s="13" t="n">
        <f aca="false">IF(Q44="",0,G44*Q44)</f>
        <v>1</v>
      </c>
      <c r="S44" s="13" t="n">
        <f aca="false">IF(Q44="",0,G44)</f>
        <v>1</v>
      </c>
      <c r="T44" s="13" t="str">
        <f aca="false">IF(OR(P44="Partial",P44="No"),I44,"")</f>
        <v/>
      </c>
      <c r="U44" s="14" t="n">
        <f aca="false">IF(Q44="",0,(1-Q44)*G44/SUMIFS($S$2:$S$97,$B$2:$B$97,B44)*INDEX(Scoring!$C$18:$C$27,MATCH(B44,Scoring!$B$18:$B$27,0)))</f>
        <v>0</v>
      </c>
      <c r="V44" s="14" t="n">
        <f aca="false">IF(U44&gt;0,U44+IF(AND(H44="Y",P44="No"),1000,0)+ROW()/100000,0)</f>
        <v>0</v>
      </c>
      <c r="W44" s="10" t="s">
        <v>434</v>
      </c>
      <c r="X44" s="15" t="s">
        <v>435</v>
      </c>
    </row>
    <row r="45" customFormat="false" ht="35.05" hidden="false" customHeight="false" outlineLevel="0" collapsed="false">
      <c r="A45" s="10" t="s">
        <v>441</v>
      </c>
      <c r="B45" s="10" t="s">
        <v>442</v>
      </c>
      <c r="C45" s="10" t="s">
        <v>443</v>
      </c>
      <c r="D45" s="10" t="s">
        <v>444</v>
      </c>
      <c r="E45" s="10" t="s">
        <v>99</v>
      </c>
      <c r="F45" s="10" t="s">
        <v>445</v>
      </c>
      <c r="G45" s="10" t="n">
        <v>3</v>
      </c>
      <c r="H45" s="10" t="s">
        <v>101</v>
      </c>
      <c r="I45" s="10" t="s">
        <v>446</v>
      </c>
      <c r="J45" s="10" t="s">
        <v>447</v>
      </c>
      <c r="K45" s="10" t="s">
        <v>448</v>
      </c>
      <c r="L45" s="10" t="s">
        <v>105</v>
      </c>
      <c r="M45" s="10" t="s">
        <v>106</v>
      </c>
      <c r="N45" s="10" t="s">
        <v>449</v>
      </c>
      <c r="P45" s="11" t="s">
        <v>129</v>
      </c>
      <c r="Q45" s="12" t="n">
        <f aca="false">IF(P45="Yes",Scoring!$C$6,IF(P45="Partial",Scoring!$C$7,IF(P45="No",Scoring!$C$8,"")))</f>
        <v>0.5</v>
      </c>
      <c r="R45" s="13" t="n">
        <f aca="false">IF(Q45="",0,G45*Q45)</f>
        <v>1.5</v>
      </c>
      <c r="S45" s="13" t="n">
        <f aca="false">IF(Q45="",0,G45)</f>
        <v>3</v>
      </c>
      <c r="T45" s="13" t="str">
        <f aca="false">IF(OR(P45="Partial",P45="No"),I45,"")</f>
        <v>Complete a security risk assessment and certification and accreditation before go-live, and refresh it after significant change or on a set cycle.</v>
      </c>
      <c r="U45" s="14" t="n">
        <f aca="false">IF(Q45="",0,(1-Q45)*G45/SUMIFS($S$2:$S$97,$B$2:$B$97,B45)*INDEX(Scoring!$C$18:$C$27,MATCH(B45,Scoring!$B$18:$B$27,0)))</f>
        <v>0.875</v>
      </c>
      <c r="V45" s="14" t="n">
        <f aca="false">IF(U45&gt;0,U45+IF(AND(H45="Y",P45="No"),1000,0)+ROW()/100000,0)</f>
        <v>0.87545</v>
      </c>
      <c r="W45" s="10" t="s">
        <v>450</v>
      </c>
      <c r="X45" s="15" t="s">
        <v>451</v>
      </c>
    </row>
    <row r="46" customFormat="false" ht="46.25" hidden="false" customHeight="false" outlineLevel="0" collapsed="false">
      <c r="A46" s="10" t="s">
        <v>452</v>
      </c>
      <c r="B46" s="10" t="s">
        <v>442</v>
      </c>
      <c r="C46" s="10" t="s">
        <v>453</v>
      </c>
      <c r="D46" s="10" t="s">
        <v>454</v>
      </c>
      <c r="E46" s="10" t="s">
        <v>99</v>
      </c>
      <c r="F46" s="10" t="s">
        <v>455</v>
      </c>
      <c r="G46" s="10" t="n">
        <v>3</v>
      </c>
      <c r="H46" s="10" t="s">
        <v>115</v>
      </c>
      <c r="I46" s="10" t="s">
        <v>456</v>
      </c>
      <c r="J46" s="10" t="s">
        <v>457</v>
      </c>
      <c r="K46" s="10" t="s">
        <v>458</v>
      </c>
      <c r="L46" s="10" t="s">
        <v>233</v>
      </c>
      <c r="M46" s="10" t="s">
        <v>106</v>
      </c>
      <c r="N46" s="10" t="s">
        <v>459</v>
      </c>
      <c r="P46" s="11" t="s">
        <v>108</v>
      </c>
      <c r="Q46" s="12" t="n">
        <f aca="false">IF(P46="Yes",Scoring!$C$6,IF(P46="Partial",Scoring!$C$7,IF(P46="No",Scoring!$C$8,"")))</f>
        <v>1</v>
      </c>
      <c r="R46" s="13" t="n">
        <f aca="false">IF(Q46="",0,G46*Q46)</f>
        <v>3</v>
      </c>
      <c r="S46" s="13" t="n">
        <f aca="false">IF(Q46="",0,G46)</f>
        <v>3</v>
      </c>
      <c r="T46" s="13" t="str">
        <f aca="false">IF(OR(P46="Partial",P46="No"),I46,"")</f>
        <v/>
      </c>
      <c r="U46" s="14" t="n">
        <f aca="false">IF(Q46="",0,(1-Q46)*G46/SUMIFS($S$2:$S$97,$B$2:$B$97,B46)*INDEX(Scoring!$C$18:$C$27,MATCH(B46,Scoring!$B$18:$B$27,0)))</f>
        <v>0</v>
      </c>
      <c r="V46" s="14" t="n">
        <f aca="false">IF(U46&gt;0,U46+IF(AND(H46="Y",P46="No"),1000,0)+ROW()/100000,0)</f>
        <v>0</v>
      </c>
      <c r="W46" s="10" t="s">
        <v>460</v>
      </c>
      <c r="X46" s="15" t="s">
        <v>461</v>
      </c>
    </row>
    <row r="47" customFormat="false" ht="35.05" hidden="false" customHeight="false" outlineLevel="0" collapsed="false">
      <c r="A47" s="10" t="s">
        <v>462</v>
      </c>
      <c r="B47" s="10" t="s">
        <v>442</v>
      </c>
      <c r="C47" s="10" t="s">
        <v>463</v>
      </c>
      <c r="D47" s="10" t="s">
        <v>464</v>
      </c>
      <c r="E47" s="10" t="s">
        <v>99</v>
      </c>
      <c r="F47" s="10" t="s">
        <v>465</v>
      </c>
      <c r="G47" s="10" t="n">
        <v>2</v>
      </c>
      <c r="H47" s="10" t="s">
        <v>115</v>
      </c>
      <c r="I47" s="10" t="s">
        <v>466</v>
      </c>
      <c r="J47" s="10" t="s">
        <v>467</v>
      </c>
      <c r="K47" s="10"/>
      <c r="L47" s="10" t="s">
        <v>119</v>
      </c>
      <c r="M47" s="10" t="s">
        <v>106</v>
      </c>
      <c r="N47" s="10"/>
      <c r="P47" s="11" t="s">
        <v>129</v>
      </c>
      <c r="Q47" s="12" t="n">
        <f aca="false">IF(P47="Yes",Scoring!$C$6,IF(P47="Partial",Scoring!$C$7,IF(P47="No",Scoring!$C$8,"")))</f>
        <v>0.5</v>
      </c>
      <c r="R47" s="13" t="n">
        <f aca="false">IF(Q47="",0,G47*Q47)</f>
        <v>1</v>
      </c>
      <c r="S47" s="13" t="n">
        <f aca="false">IF(Q47="",0,G47)</f>
        <v>2</v>
      </c>
      <c r="T47" s="13" t="str">
        <f aca="false">IF(OR(P47="Partial",P47="No"),I47,"")</f>
        <v>Commission independent penetration testing annually and after major change, and remediate critical and high findings before release.</v>
      </c>
      <c r="U47" s="14" t="n">
        <f aca="false">IF(Q47="",0,(1-Q47)*G47/SUMIFS($S$2:$S$97,$B$2:$B$97,B47)*INDEX(Scoring!$C$18:$C$27,MATCH(B47,Scoring!$B$18:$B$27,0)))</f>
        <v>0.583333333333333</v>
      </c>
      <c r="V47" s="14" t="n">
        <f aca="false">IF(U47&gt;0,U47+IF(AND(H47="Y",P47="No"),1000,0)+ROW()/100000,0)</f>
        <v>0.583803333333333</v>
      </c>
      <c r="W47" s="10" t="s">
        <v>450</v>
      </c>
      <c r="X47" s="15" t="s">
        <v>451</v>
      </c>
    </row>
    <row r="48" customFormat="false" ht="46.25" hidden="false" customHeight="false" outlineLevel="0" collapsed="false">
      <c r="A48" s="10" t="s">
        <v>468</v>
      </c>
      <c r="B48" s="10" t="s">
        <v>442</v>
      </c>
      <c r="C48" s="10" t="s">
        <v>469</v>
      </c>
      <c r="D48" s="10" t="s">
        <v>470</v>
      </c>
      <c r="E48" s="10" t="s">
        <v>99</v>
      </c>
      <c r="F48" s="10" t="s">
        <v>471</v>
      </c>
      <c r="G48" s="10" t="n">
        <v>2</v>
      </c>
      <c r="H48" s="10" t="s">
        <v>115</v>
      </c>
      <c r="I48" s="10" t="s">
        <v>472</v>
      </c>
      <c r="J48" s="10" t="s">
        <v>473</v>
      </c>
      <c r="K48" s="10" t="s">
        <v>474</v>
      </c>
      <c r="L48" s="10" t="s">
        <v>119</v>
      </c>
      <c r="M48" s="10" t="s">
        <v>106</v>
      </c>
      <c r="N48" s="10" t="s">
        <v>459</v>
      </c>
      <c r="P48" s="11" t="s">
        <v>108</v>
      </c>
      <c r="Q48" s="12" t="n">
        <f aca="false">IF(P48="Yes",Scoring!$C$6,IF(P48="Partial",Scoring!$C$7,IF(P48="No",Scoring!$C$8,"")))</f>
        <v>1</v>
      </c>
      <c r="R48" s="13" t="n">
        <f aca="false">IF(Q48="",0,G48*Q48)</f>
        <v>2</v>
      </c>
      <c r="S48" s="13" t="n">
        <f aca="false">IF(Q48="",0,G48)</f>
        <v>2</v>
      </c>
      <c r="T48" s="13" t="str">
        <f aca="false">IF(OR(P48="Partial",P48="No"),I48,"")</f>
        <v/>
      </c>
      <c r="U48" s="14" t="n">
        <f aca="false">IF(Q48="",0,(1-Q48)*G48/SUMIFS($S$2:$S$97,$B$2:$B$97,B48)*INDEX(Scoring!$C$18:$C$27,MATCH(B48,Scoring!$B$18:$B$27,0)))</f>
        <v>0</v>
      </c>
      <c r="V48" s="14" t="n">
        <f aca="false">IF(U48&gt;0,U48+IF(AND(H48="Y",P48="No"),1000,0)+ROW()/100000,0)</f>
        <v>0</v>
      </c>
      <c r="W48" s="10" t="s">
        <v>475</v>
      </c>
      <c r="X48" s="15" t="s">
        <v>476</v>
      </c>
    </row>
    <row r="49" customFormat="false" ht="46.25" hidden="false" customHeight="false" outlineLevel="0" collapsed="false">
      <c r="A49" s="10" t="s">
        <v>477</v>
      </c>
      <c r="B49" s="10" t="s">
        <v>442</v>
      </c>
      <c r="C49" s="10" t="s">
        <v>478</v>
      </c>
      <c r="D49" s="10" t="s">
        <v>479</v>
      </c>
      <c r="E49" s="10" t="s">
        <v>99</v>
      </c>
      <c r="F49" s="10" t="s">
        <v>480</v>
      </c>
      <c r="G49" s="10" t="n">
        <v>2</v>
      </c>
      <c r="H49" s="10" t="s">
        <v>115</v>
      </c>
      <c r="I49" s="10" t="s">
        <v>481</v>
      </c>
      <c r="J49" s="10" t="s">
        <v>482</v>
      </c>
      <c r="K49" s="10" t="s">
        <v>474</v>
      </c>
      <c r="L49" s="10" t="s">
        <v>119</v>
      </c>
      <c r="M49" s="10" t="s">
        <v>173</v>
      </c>
      <c r="N49" s="10" t="s">
        <v>459</v>
      </c>
      <c r="P49" s="11" t="s">
        <v>108</v>
      </c>
      <c r="Q49" s="12" t="n">
        <f aca="false">IF(P49="Yes",Scoring!$C$6,IF(P49="Partial",Scoring!$C$7,IF(P49="No",Scoring!$C$8,"")))</f>
        <v>1</v>
      </c>
      <c r="R49" s="13" t="n">
        <f aca="false">IF(Q49="",0,G49*Q49)</f>
        <v>2</v>
      </c>
      <c r="S49" s="13" t="n">
        <f aca="false">IF(Q49="",0,G49)</f>
        <v>2</v>
      </c>
      <c r="T49" s="13" t="str">
        <f aca="false">IF(OR(P49="Partial",P49="No"),I49,"")</f>
        <v/>
      </c>
      <c r="U49" s="14" t="n">
        <f aca="false">IF(Q49="",0,(1-Q49)*G49/SUMIFS($S$2:$S$97,$B$2:$B$97,B49)*INDEX(Scoring!$C$18:$C$27,MATCH(B49,Scoring!$B$18:$B$27,0)))</f>
        <v>0</v>
      </c>
      <c r="V49" s="14" t="n">
        <f aca="false">IF(U49&gt;0,U49+IF(AND(H49="Y",P49="No"),1000,0)+ROW()/100000,0)</f>
        <v>0</v>
      </c>
      <c r="W49" s="10" t="s">
        <v>483</v>
      </c>
      <c r="X49" s="15" t="s">
        <v>484</v>
      </c>
    </row>
    <row r="50" customFormat="false" ht="35.05" hidden="false" customHeight="false" outlineLevel="0" collapsed="false">
      <c r="A50" s="10" t="s">
        <v>485</v>
      </c>
      <c r="B50" s="10" t="s">
        <v>442</v>
      </c>
      <c r="C50" s="10" t="s">
        <v>486</v>
      </c>
      <c r="D50" s="10" t="s">
        <v>487</v>
      </c>
      <c r="E50" s="10" t="s">
        <v>99</v>
      </c>
      <c r="F50" s="10" t="s">
        <v>488</v>
      </c>
      <c r="G50" s="10" t="n">
        <v>2</v>
      </c>
      <c r="H50" s="10" t="s">
        <v>115</v>
      </c>
      <c r="I50" s="10" t="s">
        <v>489</v>
      </c>
      <c r="J50" s="10" t="s">
        <v>490</v>
      </c>
      <c r="K50" s="10" t="s">
        <v>333</v>
      </c>
      <c r="L50" s="10" t="s">
        <v>119</v>
      </c>
      <c r="M50" s="10" t="s">
        <v>106</v>
      </c>
      <c r="N50" s="10"/>
      <c r="P50" s="11" t="s">
        <v>129</v>
      </c>
      <c r="Q50" s="12" t="n">
        <f aca="false">IF(P50="Yes",Scoring!$C$6,IF(P50="Partial",Scoring!$C$7,IF(P50="No",Scoring!$C$8,"")))</f>
        <v>0.5</v>
      </c>
      <c r="R50" s="13" t="n">
        <f aca="false">IF(Q50="",0,G50*Q50)</f>
        <v>1</v>
      </c>
      <c r="S50" s="13" t="n">
        <f aca="false">IF(Q50="",0,G50)</f>
        <v>2</v>
      </c>
      <c r="T50" s="13" t="str">
        <f aca="false">IF(OR(P50="Partial",P50="No"),I50,"")</f>
        <v>Complete a privacy impact assessment and update it whenever the collection, use or sharing of personal information changes.</v>
      </c>
      <c r="U50" s="14" t="n">
        <f aca="false">IF(Q50="",0,(1-Q50)*G50/SUMIFS($S$2:$S$97,$B$2:$B$97,B50)*INDEX(Scoring!$C$18:$C$27,MATCH(B50,Scoring!$B$18:$B$27,0)))</f>
        <v>0.583333333333333</v>
      </c>
      <c r="V50" s="14" t="n">
        <f aca="false">IF(U50&gt;0,U50+IF(AND(H50="Y",P50="No"),1000,0)+ROW()/100000,0)</f>
        <v>0.583833333333333</v>
      </c>
      <c r="W50" s="10" t="s">
        <v>491</v>
      </c>
      <c r="X50" s="15" t="s">
        <v>492</v>
      </c>
    </row>
    <row r="51" customFormat="false" ht="35.05" hidden="false" customHeight="false" outlineLevel="0" collapsed="false">
      <c r="A51" s="10" t="s">
        <v>493</v>
      </c>
      <c r="B51" s="10" t="s">
        <v>442</v>
      </c>
      <c r="C51" s="10" t="s">
        <v>486</v>
      </c>
      <c r="D51" s="10" t="s">
        <v>494</v>
      </c>
      <c r="E51" s="10" t="s">
        <v>99</v>
      </c>
      <c r="F51" s="10" t="s">
        <v>495</v>
      </c>
      <c r="G51" s="10" t="n">
        <v>3</v>
      </c>
      <c r="H51" s="10" t="s">
        <v>101</v>
      </c>
      <c r="I51" s="10" t="s">
        <v>496</v>
      </c>
      <c r="J51" s="10" t="s">
        <v>497</v>
      </c>
      <c r="K51" s="10" t="s">
        <v>498</v>
      </c>
      <c r="L51" s="10" t="s">
        <v>105</v>
      </c>
      <c r="M51" s="10" t="s">
        <v>106</v>
      </c>
      <c r="N51" s="10" t="s">
        <v>499</v>
      </c>
      <c r="P51" s="11" t="s">
        <v>108</v>
      </c>
      <c r="Q51" s="12" t="n">
        <f aca="false">IF(P51="Yes",Scoring!$C$6,IF(P51="Partial",Scoring!$C$7,IF(P51="No",Scoring!$C$8,"")))</f>
        <v>1</v>
      </c>
      <c r="R51" s="13" t="n">
        <f aca="false">IF(Q51="",0,G51*Q51)</f>
        <v>3</v>
      </c>
      <c r="S51" s="13" t="n">
        <f aca="false">IF(Q51="",0,G51)</f>
        <v>3</v>
      </c>
      <c r="T51" s="13" t="str">
        <f aca="false">IF(OR(P51="Partial",P51="No"),I51,"")</f>
        <v/>
      </c>
      <c r="U51" s="14" t="n">
        <f aca="false">IF(Q51="",0,(1-Q51)*G51/SUMIFS($S$2:$S$97,$B$2:$B$97,B51)*INDEX(Scoring!$C$18:$C$27,MATCH(B51,Scoring!$B$18:$B$27,0)))</f>
        <v>0</v>
      </c>
      <c r="V51" s="14" t="n">
        <f aca="false">IF(U51&gt;0,U51+IF(AND(H51="Y",P51="No"),1000,0)+ROW()/100000,0)</f>
        <v>0</v>
      </c>
      <c r="W51" s="10" t="s">
        <v>500</v>
      </c>
      <c r="X51" s="15" t="s">
        <v>501</v>
      </c>
    </row>
    <row r="52" customFormat="false" ht="35.05" hidden="false" customHeight="false" outlineLevel="0" collapsed="false">
      <c r="A52" s="10" t="s">
        <v>502</v>
      </c>
      <c r="B52" s="10" t="s">
        <v>442</v>
      </c>
      <c r="C52" s="10" t="s">
        <v>486</v>
      </c>
      <c r="D52" s="10" t="s">
        <v>503</v>
      </c>
      <c r="E52" s="10" t="s">
        <v>99</v>
      </c>
      <c r="F52" s="10" t="s">
        <v>504</v>
      </c>
      <c r="G52" s="10" t="n">
        <v>2</v>
      </c>
      <c r="H52" s="10" t="s">
        <v>115</v>
      </c>
      <c r="I52" s="10" t="s">
        <v>505</v>
      </c>
      <c r="J52" s="10" t="s">
        <v>506</v>
      </c>
      <c r="K52" s="10" t="s">
        <v>333</v>
      </c>
      <c r="L52" s="10" t="s">
        <v>105</v>
      </c>
      <c r="M52" s="10" t="s">
        <v>106</v>
      </c>
      <c r="N52" s="10"/>
      <c r="P52" s="11" t="s">
        <v>300</v>
      </c>
      <c r="Q52" s="12" t="n">
        <f aca="false">IF(P52="Yes",Scoring!$C$6,IF(P52="Partial",Scoring!$C$7,IF(P52="No",Scoring!$C$8,"")))</f>
        <v>0</v>
      </c>
      <c r="R52" s="13" t="n">
        <f aca="false">IF(Q52="",0,G52*Q52)</f>
        <v>0</v>
      </c>
      <c r="S52" s="13" t="n">
        <f aca="false">IF(Q52="",0,G52)</f>
        <v>2</v>
      </c>
      <c r="T52" s="13" t="str">
        <f aca="false">IF(OR(P52="Partial",P52="No"),I52,"")</f>
        <v>Document and exercise a privacy breach response process that meets the notifiable privacy breach requirements of the Privacy Act 2020.</v>
      </c>
      <c r="U52" s="14" t="n">
        <f aca="false">IF(Q52="",0,(1-Q52)*G52/SUMIFS($S$2:$S$97,$B$2:$B$97,B52)*INDEX(Scoring!$C$18:$C$27,MATCH(B52,Scoring!$B$18:$B$27,0)))</f>
        <v>1.16666666666667</v>
      </c>
      <c r="V52" s="14" t="n">
        <f aca="false">IF(U52&gt;0,U52+IF(AND(H52="Y",P52="No"),1000,0)+ROW()/100000,0)</f>
        <v>1.16718666666667</v>
      </c>
      <c r="W52" s="10" t="s">
        <v>333</v>
      </c>
      <c r="X52" s="15" t="s">
        <v>334</v>
      </c>
    </row>
    <row r="53" customFormat="false" ht="46.25" hidden="false" customHeight="false" outlineLevel="0" collapsed="false">
      <c r="A53" s="10" t="s">
        <v>507</v>
      </c>
      <c r="B53" s="10" t="s">
        <v>442</v>
      </c>
      <c r="C53" s="10" t="s">
        <v>508</v>
      </c>
      <c r="D53" s="10" t="s">
        <v>509</v>
      </c>
      <c r="E53" s="10" t="s">
        <v>99</v>
      </c>
      <c r="F53" s="10" t="s">
        <v>510</v>
      </c>
      <c r="G53" s="10" t="n">
        <v>2</v>
      </c>
      <c r="H53" s="10" t="s">
        <v>115</v>
      </c>
      <c r="I53" s="10" t="s">
        <v>511</v>
      </c>
      <c r="J53" s="10" t="s">
        <v>512</v>
      </c>
      <c r="K53" s="10" t="s">
        <v>474</v>
      </c>
      <c r="L53" s="10" t="s">
        <v>119</v>
      </c>
      <c r="M53" s="10" t="s">
        <v>106</v>
      </c>
      <c r="N53" s="10" t="s">
        <v>459</v>
      </c>
      <c r="P53" s="11" t="s">
        <v>108</v>
      </c>
      <c r="Q53" s="12" t="n">
        <f aca="false">IF(P53="Yes",Scoring!$C$6,IF(P53="Partial",Scoring!$C$7,IF(P53="No",Scoring!$C$8,"")))</f>
        <v>1</v>
      </c>
      <c r="R53" s="13" t="n">
        <f aca="false">IF(Q53="",0,G53*Q53)</f>
        <v>2</v>
      </c>
      <c r="S53" s="13" t="n">
        <f aca="false">IF(Q53="",0,G53)</f>
        <v>2</v>
      </c>
      <c r="T53" s="13" t="str">
        <f aca="false">IF(OR(P53="Partial",P53="No"),I53,"")</f>
        <v/>
      </c>
      <c r="U53" s="14" t="n">
        <f aca="false">IF(Q53="",0,(1-Q53)*G53/SUMIFS($S$2:$S$97,$B$2:$B$97,B53)*INDEX(Scoring!$C$18:$C$27,MATCH(B53,Scoring!$B$18:$B$27,0)))</f>
        <v>0</v>
      </c>
      <c r="V53" s="14" t="n">
        <f aca="false">IF(U53&gt;0,U53+IF(AND(H53="Y",P53="No"),1000,0)+ROW()/100000,0)</f>
        <v>0</v>
      </c>
      <c r="W53" s="10" t="s">
        <v>460</v>
      </c>
      <c r="X53" s="15" t="s">
        <v>461</v>
      </c>
    </row>
    <row r="54" customFormat="false" ht="46.25" hidden="false" customHeight="false" outlineLevel="0" collapsed="false">
      <c r="A54" s="10" t="s">
        <v>513</v>
      </c>
      <c r="B54" s="10" t="s">
        <v>442</v>
      </c>
      <c r="C54" s="10" t="s">
        <v>514</v>
      </c>
      <c r="D54" s="10" t="s">
        <v>515</v>
      </c>
      <c r="E54" s="10" t="s">
        <v>99</v>
      </c>
      <c r="F54" s="10" t="s">
        <v>516</v>
      </c>
      <c r="G54" s="10" t="n">
        <v>2</v>
      </c>
      <c r="H54" s="10" t="s">
        <v>115</v>
      </c>
      <c r="I54" s="10" t="s">
        <v>517</v>
      </c>
      <c r="J54" s="10" t="s">
        <v>518</v>
      </c>
      <c r="K54" s="10" t="s">
        <v>474</v>
      </c>
      <c r="L54" s="10" t="s">
        <v>233</v>
      </c>
      <c r="M54" s="10" t="s">
        <v>106</v>
      </c>
      <c r="N54" s="10" t="s">
        <v>459</v>
      </c>
      <c r="P54" s="11" t="s">
        <v>108</v>
      </c>
      <c r="Q54" s="12" t="n">
        <f aca="false">IF(P54="Yes",Scoring!$C$6,IF(P54="Partial",Scoring!$C$7,IF(P54="No",Scoring!$C$8,"")))</f>
        <v>1</v>
      </c>
      <c r="R54" s="13" t="n">
        <f aca="false">IF(Q54="",0,G54*Q54)</f>
        <v>2</v>
      </c>
      <c r="S54" s="13" t="n">
        <f aca="false">IF(Q54="",0,G54)</f>
        <v>2</v>
      </c>
      <c r="T54" s="13" t="str">
        <f aca="false">IF(OR(P54="Partial",P54="No"),I54,"")</f>
        <v/>
      </c>
      <c r="U54" s="14" t="n">
        <f aca="false">IF(Q54="",0,(1-Q54)*G54/SUMIFS($S$2:$S$97,$B$2:$B$97,B54)*INDEX(Scoring!$C$18:$C$27,MATCH(B54,Scoring!$B$18:$B$27,0)))</f>
        <v>0</v>
      </c>
      <c r="V54" s="14" t="n">
        <f aca="false">IF(U54&gt;0,U54+IF(AND(H54="Y",P54="No"),1000,0)+ROW()/100000,0)</f>
        <v>0</v>
      </c>
      <c r="W54" s="10" t="s">
        <v>460</v>
      </c>
      <c r="X54" s="15" t="s">
        <v>461</v>
      </c>
    </row>
    <row r="55" customFormat="false" ht="23.85" hidden="false" customHeight="false" outlineLevel="0" collapsed="false">
      <c r="A55" s="10" t="s">
        <v>519</v>
      </c>
      <c r="B55" s="10" t="s">
        <v>442</v>
      </c>
      <c r="C55" s="10" t="s">
        <v>520</v>
      </c>
      <c r="D55" s="10" t="s">
        <v>521</v>
      </c>
      <c r="E55" s="10" t="s">
        <v>99</v>
      </c>
      <c r="F55" s="10" t="s">
        <v>522</v>
      </c>
      <c r="G55" s="10" t="n">
        <v>1</v>
      </c>
      <c r="H55" s="10" t="s">
        <v>115</v>
      </c>
      <c r="I55" s="10" t="s">
        <v>523</v>
      </c>
      <c r="J55" s="10" t="s">
        <v>524</v>
      </c>
      <c r="K55" s="10"/>
      <c r="L55" s="10" t="s">
        <v>119</v>
      </c>
      <c r="M55" s="10" t="s">
        <v>106</v>
      </c>
      <c r="N55" s="10"/>
      <c r="P55" s="11" t="s">
        <v>108</v>
      </c>
      <c r="Q55" s="12" t="n">
        <f aca="false">IF(P55="Yes",Scoring!$C$6,IF(P55="Partial",Scoring!$C$7,IF(P55="No",Scoring!$C$8,"")))</f>
        <v>1</v>
      </c>
      <c r="R55" s="13" t="n">
        <f aca="false">IF(Q55="",0,G55*Q55)</f>
        <v>1</v>
      </c>
      <c r="S55" s="13" t="n">
        <f aca="false">IF(Q55="",0,G55)</f>
        <v>1</v>
      </c>
      <c r="T55" s="13" t="str">
        <f aca="false">IF(OR(P55="Partial",P55="No"),I55,"")</f>
        <v/>
      </c>
      <c r="U55" s="14" t="n">
        <f aca="false">IF(Q55="",0,(1-Q55)*G55/SUMIFS($S$2:$S$97,$B$2:$B$97,B55)*INDEX(Scoring!$C$18:$C$27,MATCH(B55,Scoring!$B$18:$B$27,0)))</f>
        <v>0</v>
      </c>
      <c r="V55" s="14" t="n">
        <f aca="false">IF(U55&gt;0,U55+IF(AND(H55="Y",P55="No"),1000,0)+ROW()/100000,0)</f>
        <v>0</v>
      </c>
      <c r="W55" s="10" t="s">
        <v>525</v>
      </c>
      <c r="X55" s="15" t="s">
        <v>526</v>
      </c>
    </row>
    <row r="56" customFormat="false" ht="35.05" hidden="false" customHeight="false" outlineLevel="0" collapsed="false">
      <c r="A56" s="10" t="s">
        <v>527</v>
      </c>
      <c r="B56" s="10" t="s">
        <v>528</v>
      </c>
      <c r="C56" s="10" t="s">
        <v>529</v>
      </c>
      <c r="D56" s="10" t="s">
        <v>530</v>
      </c>
      <c r="E56" s="10" t="s">
        <v>99</v>
      </c>
      <c r="F56" s="10" t="s">
        <v>531</v>
      </c>
      <c r="G56" s="10" t="n">
        <v>3</v>
      </c>
      <c r="H56" s="10" t="s">
        <v>115</v>
      </c>
      <c r="I56" s="10" t="s">
        <v>532</v>
      </c>
      <c r="J56" s="10" t="s">
        <v>533</v>
      </c>
      <c r="K56" s="10" t="s">
        <v>534</v>
      </c>
      <c r="L56" s="10" t="s">
        <v>233</v>
      </c>
      <c r="M56" s="10" t="s">
        <v>106</v>
      </c>
      <c r="N56" s="10"/>
      <c r="P56" s="11" t="s">
        <v>129</v>
      </c>
      <c r="Q56" s="12" t="n">
        <f aca="false">IF(P56="Yes",Scoring!$C$6,IF(P56="Partial",Scoring!$C$7,IF(P56="No",Scoring!$C$8,"")))</f>
        <v>0.5</v>
      </c>
      <c r="R56" s="13" t="n">
        <f aca="false">IF(Q56="",0,G56*Q56)</f>
        <v>1.5</v>
      </c>
      <c r="S56" s="13" t="n">
        <f aca="false">IF(Q56="",0,G56)</f>
        <v>3</v>
      </c>
      <c r="T56" s="13" t="str">
        <f aca="false">IF(OR(P56="Partial",P56="No"),I56,"")</f>
        <v>Define and agree availability, response time and support targets that reflect how critical the service is to users, and measure against them.</v>
      </c>
      <c r="U56" s="14" t="n">
        <f aca="false">IF(Q56="",0,(1-Q56)*G56/SUMIFS($S$2:$S$97,$B$2:$B$97,B56)*INDEX(Scoring!$C$18:$C$27,MATCH(B56,Scoring!$B$18:$B$27,0)))</f>
        <v>0.928571428571429</v>
      </c>
      <c r="V56" s="14" t="n">
        <f aca="false">IF(U56&gt;0,U56+IF(AND(H56="Y",P56="No"),1000,0)+ROW()/100000,0)</f>
        <v>0.929131428571429</v>
      </c>
      <c r="W56" s="10" t="s">
        <v>535</v>
      </c>
      <c r="X56" s="15" t="s">
        <v>536</v>
      </c>
    </row>
    <row r="57" customFormat="false" ht="35.05" hidden="false" customHeight="false" outlineLevel="0" collapsed="false">
      <c r="A57" s="10" t="s">
        <v>537</v>
      </c>
      <c r="B57" s="10" t="s">
        <v>528</v>
      </c>
      <c r="C57" s="10" t="s">
        <v>538</v>
      </c>
      <c r="D57" s="10" t="s">
        <v>539</v>
      </c>
      <c r="E57" s="10" t="s">
        <v>99</v>
      </c>
      <c r="F57" s="10" t="s">
        <v>540</v>
      </c>
      <c r="G57" s="10" t="n">
        <v>3</v>
      </c>
      <c r="H57" s="10" t="s">
        <v>115</v>
      </c>
      <c r="I57" s="10" t="s">
        <v>541</v>
      </c>
      <c r="J57" s="10" t="s">
        <v>542</v>
      </c>
      <c r="K57" s="10" t="s">
        <v>543</v>
      </c>
      <c r="L57" s="10" t="s">
        <v>233</v>
      </c>
      <c r="M57" s="10" t="s">
        <v>106</v>
      </c>
      <c r="N57" s="10"/>
      <c r="P57" s="11" t="s">
        <v>108</v>
      </c>
      <c r="Q57" s="12" t="n">
        <f aca="false">IF(P57="Yes",Scoring!$C$6,IF(P57="Partial",Scoring!$C$7,IF(P57="No",Scoring!$C$8,"")))</f>
        <v>1</v>
      </c>
      <c r="R57" s="13" t="n">
        <f aca="false">IF(Q57="",0,G57*Q57)</f>
        <v>3</v>
      </c>
      <c r="S57" s="13" t="n">
        <f aca="false">IF(Q57="",0,G57)</f>
        <v>3</v>
      </c>
      <c r="T57" s="13" t="str">
        <f aca="false">IF(OR(P57="Partial",P57="No"),I57,"")</f>
        <v/>
      </c>
      <c r="U57" s="14" t="n">
        <f aca="false">IF(Q57="",0,(1-Q57)*G57/SUMIFS($S$2:$S$97,$B$2:$B$97,B57)*INDEX(Scoring!$C$18:$C$27,MATCH(B57,Scoring!$B$18:$B$27,0)))</f>
        <v>0</v>
      </c>
      <c r="V57" s="14" t="n">
        <f aca="false">IF(U57&gt;0,U57+IF(AND(H57="Y",P57="No"),1000,0)+ROW()/100000,0)</f>
        <v>0</v>
      </c>
      <c r="W57" s="10" t="s">
        <v>544</v>
      </c>
      <c r="X57" s="15" t="s">
        <v>545</v>
      </c>
    </row>
    <row r="58" customFormat="false" ht="46.25" hidden="false" customHeight="false" outlineLevel="0" collapsed="false">
      <c r="A58" s="10" t="s">
        <v>546</v>
      </c>
      <c r="B58" s="10" t="s">
        <v>528</v>
      </c>
      <c r="C58" s="10" t="s">
        <v>547</v>
      </c>
      <c r="D58" s="10" t="s">
        <v>548</v>
      </c>
      <c r="E58" s="10" t="s">
        <v>99</v>
      </c>
      <c r="F58" s="10" t="s">
        <v>549</v>
      </c>
      <c r="G58" s="10" t="n">
        <v>2</v>
      </c>
      <c r="H58" s="10" t="s">
        <v>115</v>
      </c>
      <c r="I58" s="10" t="s">
        <v>550</v>
      </c>
      <c r="J58" s="10" t="s">
        <v>551</v>
      </c>
      <c r="K58" s="10" t="s">
        <v>474</v>
      </c>
      <c r="L58" s="10" t="s">
        <v>233</v>
      </c>
      <c r="M58" s="10" t="s">
        <v>106</v>
      </c>
      <c r="N58" s="10" t="s">
        <v>459</v>
      </c>
      <c r="P58" s="11" t="s">
        <v>300</v>
      </c>
      <c r="Q58" s="12" t="n">
        <f aca="false">IF(P58="Yes",Scoring!$C$6,IF(P58="Partial",Scoring!$C$7,IF(P58="No",Scoring!$C$8,"")))</f>
        <v>0</v>
      </c>
      <c r="R58" s="13" t="n">
        <f aca="false">IF(Q58="",0,G58*Q58)</f>
        <v>0</v>
      </c>
      <c r="S58" s="13" t="n">
        <f aca="false">IF(Q58="",0,G58)</f>
        <v>2</v>
      </c>
      <c r="T58" s="13" t="str">
        <f aca="false">IF(OR(P58="Partial",P58="No"),I58,"")</f>
        <v>Centralise logs, metrics and traces with correlation IDs so issues can be traced across components and suppliers.</v>
      </c>
      <c r="U58" s="14" t="n">
        <f aca="false">IF(Q58="",0,(1-Q58)*G58/SUMIFS($S$2:$S$97,$B$2:$B$97,B58)*INDEX(Scoring!$C$18:$C$27,MATCH(B58,Scoring!$B$18:$B$27,0)))</f>
        <v>1.23809523809524</v>
      </c>
      <c r="V58" s="14" t="n">
        <f aca="false">IF(U58&gt;0,U58+IF(AND(H58="Y",P58="No"),1000,0)+ROW()/100000,0)</f>
        <v>1.23867523809524</v>
      </c>
      <c r="W58" s="10" t="s">
        <v>552</v>
      </c>
      <c r="X58" s="15" t="s">
        <v>553</v>
      </c>
    </row>
    <row r="59" customFormat="false" ht="35.05" hidden="false" customHeight="false" outlineLevel="0" collapsed="false">
      <c r="A59" s="10" t="s">
        <v>554</v>
      </c>
      <c r="B59" s="10" t="s">
        <v>528</v>
      </c>
      <c r="C59" s="10" t="s">
        <v>555</v>
      </c>
      <c r="D59" s="10" t="s">
        <v>556</v>
      </c>
      <c r="E59" s="10" t="s">
        <v>99</v>
      </c>
      <c r="F59" s="10" t="s">
        <v>557</v>
      </c>
      <c r="G59" s="10" t="n">
        <v>3</v>
      </c>
      <c r="H59" s="10" t="s">
        <v>101</v>
      </c>
      <c r="I59" s="10" t="s">
        <v>558</v>
      </c>
      <c r="J59" s="10" t="s">
        <v>559</v>
      </c>
      <c r="K59" s="10"/>
      <c r="L59" s="10" t="s">
        <v>233</v>
      </c>
      <c r="M59" s="10" t="s">
        <v>106</v>
      </c>
      <c r="N59" s="10"/>
      <c r="P59" s="11" t="s">
        <v>108</v>
      </c>
      <c r="Q59" s="12" t="n">
        <f aca="false">IF(P59="Yes",Scoring!$C$6,IF(P59="Partial",Scoring!$C$7,IF(P59="No",Scoring!$C$8,"")))</f>
        <v>1</v>
      </c>
      <c r="R59" s="13" t="n">
        <f aca="false">IF(Q59="",0,G59*Q59)</f>
        <v>3</v>
      </c>
      <c r="S59" s="13" t="n">
        <f aca="false">IF(Q59="",0,G59)</f>
        <v>3</v>
      </c>
      <c r="T59" s="13" t="str">
        <f aca="false">IF(OR(P59="Partial",P59="No"),I59,"")</f>
        <v/>
      </c>
      <c r="U59" s="14" t="n">
        <f aca="false">IF(Q59="",0,(1-Q59)*G59/SUMIFS($S$2:$S$97,$B$2:$B$97,B59)*INDEX(Scoring!$C$18:$C$27,MATCH(B59,Scoring!$B$18:$B$27,0)))</f>
        <v>0</v>
      </c>
      <c r="V59" s="14" t="n">
        <f aca="false">IF(U59&gt;0,U59+IF(AND(H59="Y",P59="No"),1000,0)+ROW()/100000,0)</f>
        <v>0</v>
      </c>
      <c r="W59" s="10" t="s">
        <v>560</v>
      </c>
      <c r="X59" s="15" t="s">
        <v>561</v>
      </c>
    </row>
    <row r="60" customFormat="false" ht="35.05" hidden="false" customHeight="false" outlineLevel="0" collapsed="false">
      <c r="A60" s="10" t="s">
        <v>562</v>
      </c>
      <c r="B60" s="10" t="s">
        <v>528</v>
      </c>
      <c r="C60" s="10" t="s">
        <v>563</v>
      </c>
      <c r="D60" s="10" t="s">
        <v>564</v>
      </c>
      <c r="E60" s="10" t="s">
        <v>99</v>
      </c>
      <c r="F60" s="10" t="s">
        <v>565</v>
      </c>
      <c r="G60" s="10" t="n">
        <v>2</v>
      </c>
      <c r="H60" s="10" t="s">
        <v>115</v>
      </c>
      <c r="I60" s="10" t="s">
        <v>566</v>
      </c>
      <c r="J60" s="10" t="s">
        <v>567</v>
      </c>
      <c r="K60" s="10"/>
      <c r="L60" s="10" t="s">
        <v>233</v>
      </c>
      <c r="M60" s="10" t="s">
        <v>216</v>
      </c>
      <c r="N60" s="10"/>
      <c r="P60" s="11" t="s">
        <v>129</v>
      </c>
      <c r="Q60" s="12" t="n">
        <f aca="false">IF(P60="Yes",Scoring!$C$6,IF(P60="Partial",Scoring!$C$7,IF(P60="No",Scoring!$C$8,"")))</f>
        <v>0.5</v>
      </c>
      <c r="R60" s="13" t="n">
        <f aca="false">IF(Q60="",0,G60*Q60)</f>
        <v>1</v>
      </c>
      <c r="S60" s="13" t="n">
        <f aca="false">IF(Q60="",0,G60)</f>
        <v>2</v>
      </c>
      <c r="T60" s="13" t="str">
        <f aca="false">IF(OR(P60="Partial",P60="No"),I60,"")</f>
        <v>Tell users promptly about outages and planned maintenance, with expected recovery times and alternative ways to complete their task.</v>
      </c>
      <c r="U60" s="14" t="n">
        <f aca="false">IF(Q60="",0,(1-Q60)*G60/SUMIFS($S$2:$S$97,$B$2:$B$97,B60)*INDEX(Scoring!$C$18:$C$27,MATCH(B60,Scoring!$B$18:$B$27,0)))</f>
        <v>0.619047619047619</v>
      </c>
      <c r="V60" s="14" t="n">
        <f aca="false">IF(U60&gt;0,U60+IF(AND(H60="Y",P60="No"),1000,0)+ROW()/100000,0)</f>
        <v>0.619647619047619</v>
      </c>
      <c r="W60" s="10" t="s">
        <v>560</v>
      </c>
      <c r="X60" s="15" t="s">
        <v>561</v>
      </c>
    </row>
    <row r="61" customFormat="false" ht="35.05" hidden="false" customHeight="false" outlineLevel="0" collapsed="false">
      <c r="A61" s="10" t="s">
        <v>568</v>
      </c>
      <c r="B61" s="10" t="s">
        <v>528</v>
      </c>
      <c r="C61" s="10" t="s">
        <v>569</v>
      </c>
      <c r="D61" s="10" t="s">
        <v>570</v>
      </c>
      <c r="E61" s="10" t="s">
        <v>99</v>
      </c>
      <c r="F61" s="10" t="s">
        <v>571</v>
      </c>
      <c r="G61" s="10" t="n">
        <v>2</v>
      </c>
      <c r="H61" s="10" t="s">
        <v>115</v>
      </c>
      <c r="I61" s="10" t="s">
        <v>572</v>
      </c>
      <c r="J61" s="10" t="s">
        <v>573</v>
      </c>
      <c r="K61" s="10"/>
      <c r="L61" s="10" t="s">
        <v>233</v>
      </c>
      <c r="M61" s="10" t="s">
        <v>106</v>
      </c>
      <c r="N61" s="10"/>
      <c r="P61" s="11" t="s">
        <v>108</v>
      </c>
      <c r="Q61" s="12" t="n">
        <f aca="false">IF(P61="Yes",Scoring!$C$6,IF(P61="Partial",Scoring!$C$7,IF(P61="No",Scoring!$C$8,"")))</f>
        <v>1</v>
      </c>
      <c r="R61" s="13" t="n">
        <f aca="false">IF(Q61="",0,G61*Q61)</f>
        <v>2</v>
      </c>
      <c r="S61" s="13" t="n">
        <f aca="false">IF(Q61="",0,G61)</f>
        <v>2</v>
      </c>
      <c r="T61" s="13" t="str">
        <f aca="false">IF(OR(P61="Partial",P61="No"),I61,"")</f>
        <v/>
      </c>
      <c r="U61" s="14" t="n">
        <f aca="false">IF(Q61="",0,(1-Q61)*G61/SUMIFS($S$2:$S$97,$B$2:$B$97,B61)*INDEX(Scoring!$C$18:$C$27,MATCH(B61,Scoring!$B$18:$B$27,0)))</f>
        <v>0</v>
      </c>
      <c r="V61" s="14" t="n">
        <f aca="false">IF(U61&gt;0,U61+IF(AND(H61="Y",P61="No"),1000,0)+ROW()/100000,0)</f>
        <v>0</v>
      </c>
      <c r="W61" s="10" t="s">
        <v>574</v>
      </c>
      <c r="X61" s="15" t="s">
        <v>575</v>
      </c>
    </row>
    <row r="62" customFormat="false" ht="23.85" hidden="false" customHeight="false" outlineLevel="0" collapsed="false">
      <c r="A62" s="10" t="s">
        <v>576</v>
      </c>
      <c r="B62" s="10" t="s">
        <v>528</v>
      </c>
      <c r="C62" s="10" t="s">
        <v>577</v>
      </c>
      <c r="D62" s="10" t="s">
        <v>578</v>
      </c>
      <c r="E62" s="10" t="s">
        <v>99</v>
      </c>
      <c r="F62" s="10" t="s">
        <v>579</v>
      </c>
      <c r="G62" s="10" t="n">
        <v>1</v>
      </c>
      <c r="H62" s="10" t="s">
        <v>115</v>
      </c>
      <c r="I62" s="10" t="s">
        <v>580</v>
      </c>
      <c r="J62" s="10" t="s">
        <v>581</v>
      </c>
      <c r="K62" s="10"/>
      <c r="L62" s="10" t="s">
        <v>233</v>
      </c>
      <c r="M62" s="10" t="s">
        <v>106</v>
      </c>
      <c r="N62" s="10"/>
      <c r="P62" s="11" t="s">
        <v>108</v>
      </c>
      <c r="Q62" s="12" t="n">
        <f aca="false">IF(P62="Yes",Scoring!$C$6,IF(P62="Partial",Scoring!$C$7,IF(P62="No",Scoring!$C$8,"")))</f>
        <v>1</v>
      </c>
      <c r="R62" s="13" t="n">
        <f aca="false">IF(Q62="",0,G62*Q62)</f>
        <v>1</v>
      </c>
      <c r="S62" s="13" t="n">
        <f aca="false">IF(Q62="",0,G62)</f>
        <v>1</v>
      </c>
      <c r="T62" s="13" t="str">
        <f aca="false">IF(OR(P62="Partial",P62="No"),I62,"")</f>
        <v/>
      </c>
      <c r="U62" s="14" t="n">
        <f aca="false">IF(Q62="",0,(1-Q62)*G62/SUMIFS($S$2:$S$97,$B$2:$B$97,B62)*INDEX(Scoring!$C$18:$C$27,MATCH(B62,Scoring!$B$18:$B$27,0)))</f>
        <v>0</v>
      </c>
      <c r="V62" s="14" t="n">
        <f aca="false">IF(U62&gt;0,U62+IF(AND(H62="Y",P62="No"),1000,0)+ROW()/100000,0)</f>
        <v>0</v>
      </c>
      <c r="W62" s="10" t="s">
        <v>552</v>
      </c>
      <c r="X62" s="15" t="s">
        <v>553</v>
      </c>
    </row>
    <row r="63" customFormat="false" ht="23.85" hidden="false" customHeight="false" outlineLevel="0" collapsed="false">
      <c r="A63" s="10" t="s">
        <v>582</v>
      </c>
      <c r="B63" s="10" t="s">
        <v>528</v>
      </c>
      <c r="C63" s="10" t="s">
        <v>583</v>
      </c>
      <c r="D63" s="10" t="s">
        <v>584</v>
      </c>
      <c r="E63" s="10" t="s">
        <v>99</v>
      </c>
      <c r="F63" s="10" t="s">
        <v>585</v>
      </c>
      <c r="G63" s="10" t="n">
        <v>2</v>
      </c>
      <c r="H63" s="10" t="s">
        <v>115</v>
      </c>
      <c r="I63" s="10" t="s">
        <v>586</v>
      </c>
      <c r="J63" s="10" t="s">
        <v>587</v>
      </c>
      <c r="K63" s="10"/>
      <c r="L63" s="10" t="s">
        <v>119</v>
      </c>
      <c r="M63" s="10" t="s">
        <v>106</v>
      </c>
      <c r="N63" s="10"/>
      <c r="P63" s="11" t="s">
        <v>129</v>
      </c>
      <c r="Q63" s="12" t="n">
        <f aca="false">IF(P63="Yes",Scoring!$C$6,IF(P63="Partial",Scoring!$C$7,IF(P63="No",Scoring!$C$8,"")))</f>
        <v>0.5</v>
      </c>
      <c r="R63" s="13" t="n">
        <f aca="false">IF(Q63="",0,G63*Q63)</f>
        <v>1</v>
      </c>
      <c r="S63" s="13" t="n">
        <f aca="false">IF(Q63="",0,G63)</f>
        <v>2</v>
      </c>
      <c r="T63" s="13" t="str">
        <f aca="false">IF(OR(P63="Partial",P63="No"),I63,"")</f>
        <v>Define RTO and RPO based on user impact and test restore and disaster recovery at least annually.</v>
      </c>
      <c r="U63" s="14" t="n">
        <f aca="false">IF(Q63="",0,(1-Q63)*G63/SUMIFS($S$2:$S$97,$B$2:$B$97,B63)*INDEX(Scoring!$C$18:$C$27,MATCH(B63,Scoring!$B$18:$B$27,0)))</f>
        <v>0.619047619047619</v>
      </c>
      <c r="V63" s="14" t="n">
        <f aca="false">IF(U63&gt;0,U63+IF(AND(H63="Y",P63="No"),1000,0)+ROW()/100000,0)</f>
        <v>0.619677619047619</v>
      </c>
      <c r="W63" s="10" t="s">
        <v>450</v>
      </c>
      <c r="X63" s="15" t="s">
        <v>451</v>
      </c>
    </row>
    <row r="64" customFormat="false" ht="23.85" hidden="false" customHeight="false" outlineLevel="0" collapsed="false">
      <c r="A64" s="10" t="s">
        <v>588</v>
      </c>
      <c r="B64" s="10" t="s">
        <v>528</v>
      </c>
      <c r="C64" s="10" t="s">
        <v>589</v>
      </c>
      <c r="D64" s="10" t="s">
        <v>590</v>
      </c>
      <c r="E64" s="10" t="s">
        <v>99</v>
      </c>
      <c r="F64" s="10" t="s">
        <v>591</v>
      </c>
      <c r="G64" s="10" t="n">
        <v>1</v>
      </c>
      <c r="H64" s="10" t="s">
        <v>115</v>
      </c>
      <c r="I64" s="10" t="s">
        <v>592</v>
      </c>
      <c r="J64" s="10" t="s">
        <v>233</v>
      </c>
      <c r="K64" s="10"/>
      <c r="L64" s="10" t="s">
        <v>233</v>
      </c>
      <c r="M64" s="10" t="s">
        <v>106</v>
      </c>
      <c r="N64" s="10"/>
      <c r="P64" s="11" t="s">
        <v>108</v>
      </c>
      <c r="Q64" s="12" t="n">
        <f aca="false">IF(P64="Yes",Scoring!$C$6,IF(P64="Partial",Scoring!$C$7,IF(P64="No",Scoring!$C$8,"")))</f>
        <v>1</v>
      </c>
      <c r="R64" s="13" t="n">
        <f aca="false">IF(Q64="",0,G64*Q64)</f>
        <v>1</v>
      </c>
      <c r="S64" s="13" t="n">
        <f aca="false">IF(Q64="",0,G64)</f>
        <v>1</v>
      </c>
      <c r="T64" s="13" t="str">
        <f aca="false">IF(OR(P64="Partial",P64="No"),I64,"")</f>
        <v/>
      </c>
      <c r="U64" s="14" t="n">
        <f aca="false">IF(Q64="",0,(1-Q64)*G64/SUMIFS($S$2:$S$97,$B$2:$B$97,B64)*INDEX(Scoring!$C$18:$C$27,MATCH(B64,Scoring!$B$18:$B$27,0)))</f>
        <v>0</v>
      </c>
      <c r="V64" s="14" t="n">
        <f aca="false">IF(U64&gt;0,U64+IF(AND(H64="Y",P64="No"),1000,0)+ROW()/100000,0)</f>
        <v>0</v>
      </c>
      <c r="W64" s="10" t="s">
        <v>552</v>
      </c>
      <c r="X64" s="15" t="s">
        <v>553</v>
      </c>
    </row>
    <row r="65" customFormat="false" ht="35.05" hidden="false" customHeight="false" outlineLevel="0" collapsed="false">
      <c r="A65" s="10" t="s">
        <v>593</v>
      </c>
      <c r="B65" s="10" t="s">
        <v>528</v>
      </c>
      <c r="C65" s="10" t="s">
        <v>594</v>
      </c>
      <c r="D65" s="10" t="s">
        <v>595</v>
      </c>
      <c r="E65" s="10" t="s">
        <v>99</v>
      </c>
      <c r="F65" s="10" t="s">
        <v>596</v>
      </c>
      <c r="G65" s="10" t="n">
        <v>1</v>
      </c>
      <c r="H65" s="10" t="s">
        <v>115</v>
      </c>
      <c r="I65" s="10" t="s">
        <v>597</v>
      </c>
      <c r="J65" s="10" t="s">
        <v>598</v>
      </c>
      <c r="K65" s="10" t="s">
        <v>599</v>
      </c>
      <c r="L65" s="10" t="s">
        <v>233</v>
      </c>
      <c r="M65" s="10" t="s">
        <v>106</v>
      </c>
      <c r="N65" s="10"/>
      <c r="P65" s="11" t="s">
        <v>300</v>
      </c>
      <c r="Q65" s="12" t="n">
        <f aca="false">IF(P65="Yes",Scoring!$C$6,IF(P65="Partial",Scoring!$C$7,IF(P65="No",Scoring!$C$8,"")))</f>
        <v>0</v>
      </c>
      <c r="R65" s="13" t="n">
        <f aca="false">IF(Q65="",0,G65*Q65)</f>
        <v>0</v>
      </c>
      <c r="S65" s="13" t="n">
        <f aca="false">IF(Q65="",0,G65)</f>
        <v>1</v>
      </c>
      <c r="T65" s="13" t="str">
        <f aca="false">IF(OR(P65="Partial",P65="No"),I65,"")</f>
        <v>Automate testing and deployment, make releases small and reversible, and tell support teams about changes before they go live.</v>
      </c>
      <c r="U65" s="14" t="n">
        <f aca="false">IF(Q65="",0,(1-Q65)*G65/SUMIFS($S$2:$S$97,$B$2:$B$97,B65)*INDEX(Scoring!$C$18:$C$27,MATCH(B65,Scoring!$B$18:$B$27,0)))</f>
        <v>0.619047619047619</v>
      </c>
      <c r="V65" s="14" t="n">
        <f aca="false">IF(U65&gt;0,U65+IF(AND(H65="Y",P65="No"),1000,0)+ROW()/100000,0)</f>
        <v>0.619697619047619</v>
      </c>
      <c r="W65" s="10" t="s">
        <v>600</v>
      </c>
      <c r="X65" s="15" t="s">
        <v>601</v>
      </c>
    </row>
    <row r="66" customFormat="false" ht="23.85" hidden="false" customHeight="false" outlineLevel="0" collapsed="false">
      <c r="A66" s="10" t="s">
        <v>602</v>
      </c>
      <c r="B66" s="10" t="s">
        <v>528</v>
      </c>
      <c r="C66" s="10" t="s">
        <v>210</v>
      </c>
      <c r="D66" s="10" t="s">
        <v>603</v>
      </c>
      <c r="E66" s="10" t="s">
        <v>99</v>
      </c>
      <c r="F66" s="10" t="s">
        <v>604</v>
      </c>
      <c r="G66" s="10" t="n">
        <v>1</v>
      </c>
      <c r="H66" s="10" t="s">
        <v>115</v>
      </c>
      <c r="I66" s="10" t="s">
        <v>605</v>
      </c>
      <c r="J66" s="10" t="s">
        <v>606</v>
      </c>
      <c r="K66" s="10" t="s">
        <v>543</v>
      </c>
      <c r="L66" s="10" t="s">
        <v>233</v>
      </c>
      <c r="M66" s="10" t="s">
        <v>106</v>
      </c>
      <c r="N66" s="10"/>
      <c r="P66" s="11" t="s">
        <v>108</v>
      </c>
      <c r="Q66" s="12" t="n">
        <f aca="false">IF(P66="Yes",Scoring!$C$6,IF(P66="Partial",Scoring!$C$7,IF(P66="No",Scoring!$C$8,"")))</f>
        <v>1</v>
      </c>
      <c r="R66" s="13" t="n">
        <f aca="false">IF(Q66="",0,G66*Q66)</f>
        <v>1</v>
      </c>
      <c r="S66" s="13" t="n">
        <f aca="false">IF(Q66="",0,G66)</f>
        <v>1</v>
      </c>
      <c r="T66" s="13" t="str">
        <f aca="false">IF(OR(P66="Partial",P66="No"),I66,"")</f>
        <v/>
      </c>
      <c r="U66" s="14" t="n">
        <f aca="false">IF(Q66="",0,(1-Q66)*G66/SUMIFS($S$2:$S$97,$B$2:$B$97,B66)*INDEX(Scoring!$C$18:$C$27,MATCH(B66,Scoring!$B$18:$B$27,0)))</f>
        <v>0</v>
      </c>
      <c r="V66" s="14" t="n">
        <f aca="false">IF(U66&gt;0,U66+IF(AND(H66="Y",P66="No"),1000,0)+ROW()/100000,0)</f>
        <v>0</v>
      </c>
      <c r="W66" s="10" t="s">
        <v>607</v>
      </c>
      <c r="X66" s="15" t="s">
        <v>608</v>
      </c>
    </row>
    <row r="67" customFormat="false" ht="35.05" hidden="false" customHeight="false" outlineLevel="0" collapsed="false">
      <c r="A67" s="10" t="s">
        <v>609</v>
      </c>
      <c r="B67" s="10" t="s">
        <v>610</v>
      </c>
      <c r="C67" s="10" t="s">
        <v>611</v>
      </c>
      <c r="D67" s="10" t="s">
        <v>612</v>
      </c>
      <c r="E67" s="10" t="s">
        <v>99</v>
      </c>
      <c r="F67" s="10" t="s">
        <v>613</v>
      </c>
      <c r="G67" s="10" t="n">
        <v>3</v>
      </c>
      <c r="H67" s="10" t="s">
        <v>101</v>
      </c>
      <c r="I67" s="10" t="s">
        <v>614</v>
      </c>
      <c r="J67" s="10" t="s">
        <v>615</v>
      </c>
      <c r="K67" s="10" t="s">
        <v>616</v>
      </c>
      <c r="L67" s="10" t="s">
        <v>105</v>
      </c>
      <c r="M67" s="10" t="s">
        <v>216</v>
      </c>
      <c r="N67" s="10" t="s">
        <v>617</v>
      </c>
      <c r="P67" s="11" t="s">
        <v>108</v>
      </c>
      <c r="Q67" s="12" t="n">
        <f aca="false">IF(P67="Yes",Scoring!$C$6,IF(P67="Partial",Scoring!$C$7,IF(P67="No",Scoring!$C$8,"")))</f>
        <v>1</v>
      </c>
      <c r="R67" s="13" t="n">
        <f aca="false">IF(Q67="",0,G67*Q67)</f>
        <v>3</v>
      </c>
      <c r="S67" s="13" t="n">
        <f aca="false">IF(Q67="",0,G67)</f>
        <v>3</v>
      </c>
      <c r="T67" s="13" t="str">
        <f aca="false">IF(OR(P67="Partial",P67="No"),I67,"")</f>
        <v/>
      </c>
      <c r="U67" s="14" t="n">
        <f aca="false">IF(Q67="",0,(1-Q67)*G67/SUMIFS($S$2:$S$97,$B$2:$B$97,B67)*INDEX(Scoring!$C$18:$C$27,MATCH(B67,Scoring!$B$18:$B$27,0)))</f>
        <v>0</v>
      </c>
      <c r="V67" s="14" t="n">
        <f aca="false">IF(U67&gt;0,U67+IF(AND(H67="Y",P67="No"),1000,0)+ROW()/100000,0)</f>
        <v>0</v>
      </c>
      <c r="W67" s="10" t="s">
        <v>500</v>
      </c>
      <c r="X67" s="15" t="s">
        <v>501</v>
      </c>
    </row>
    <row r="68" customFormat="false" ht="23.85" hidden="false" customHeight="false" outlineLevel="0" collapsed="false">
      <c r="A68" s="10" t="s">
        <v>618</v>
      </c>
      <c r="B68" s="10" t="s">
        <v>610</v>
      </c>
      <c r="C68" s="10" t="s">
        <v>619</v>
      </c>
      <c r="D68" s="10" t="s">
        <v>620</v>
      </c>
      <c r="E68" s="10" t="s">
        <v>99</v>
      </c>
      <c r="F68" s="10" t="s">
        <v>621</v>
      </c>
      <c r="G68" s="10" t="n">
        <v>2</v>
      </c>
      <c r="H68" s="10" t="s">
        <v>115</v>
      </c>
      <c r="I68" s="10" t="s">
        <v>622</v>
      </c>
      <c r="J68" s="10" t="s">
        <v>623</v>
      </c>
      <c r="K68" s="10" t="s">
        <v>128</v>
      </c>
      <c r="L68" s="10" t="s">
        <v>105</v>
      </c>
      <c r="M68" s="10" t="s">
        <v>106</v>
      </c>
      <c r="N68" s="10"/>
      <c r="P68" s="11" t="s">
        <v>108</v>
      </c>
      <c r="Q68" s="12" t="n">
        <f aca="false">IF(P68="Yes",Scoring!$C$6,IF(P68="Partial",Scoring!$C$7,IF(P68="No",Scoring!$C$8,"")))</f>
        <v>1</v>
      </c>
      <c r="R68" s="13" t="n">
        <f aca="false">IF(Q68="",0,G68*Q68)</f>
        <v>2</v>
      </c>
      <c r="S68" s="13" t="n">
        <f aca="false">IF(Q68="",0,G68)</f>
        <v>2</v>
      </c>
      <c r="T68" s="13" t="str">
        <f aca="false">IF(OR(P68="Partial",P68="No"),I68,"")</f>
        <v/>
      </c>
      <c r="U68" s="14" t="n">
        <f aca="false">IF(Q68="",0,(1-Q68)*G68/SUMIFS($S$2:$S$97,$B$2:$B$97,B68)*INDEX(Scoring!$C$18:$C$27,MATCH(B68,Scoring!$B$18:$B$27,0)))</f>
        <v>0</v>
      </c>
      <c r="V68" s="14" t="n">
        <f aca="false">IF(U68&gt;0,U68+IF(AND(H68="Y",P68="No"),1000,0)+ROW()/100000,0)</f>
        <v>0</v>
      </c>
      <c r="W68" s="10" t="s">
        <v>624</v>
      </c>
      <c r="X68" s="15" t="s">
        <v>625</v>
      </c>
    </row>
    <row r="69" customFormat="false" ht="23.85" hidden="false" customHeight="false" outlineLevel="0" collapsed="false">
      <c r="A69" s="10" t="s">
        <v>626</v>
      </c>
      <c r="B69" s="10" t="s">
        <v>610</v>
      </c>
      <c r="C69" s="10" t="s">
        <v>627</v>
      </c>
      <c r="D69" s="10" t="s">
        <v>628</v>
      </c>
      <c r="E69" s="10" t="s">
        <v>99</v>
      </c>
      <c r="F69" s="10" t="s">
        <v>629</v>
      </c>
      <c r="G69" s="10" t="n">
        <v>2</v>
      </c>
      <c r="H69" s="10" t="s">
        <v>115</v>
      </c>
      <c r="I69" s="10" t="s">
        <v>630</v>
      </c>
      <c r="J69" s="10" t="s">
        <v>631</v>
      </c>
      <c r="K69" s="10" t="s">
        <v>388</v>
      </c>
      <c r="L69" s="10" t="s">
        <v>119</v>
      </c>
      <c r="M69" s="10" t="s">
        <v>216</v>
      </c>
      <c r="N69" s="10" t="s">
        <v>632</v>
      </c>
      <c r="P69" s="11" t="s">
        <v>129</v>
      </c>
      <c r="Q69" s="12" t="n">
        <f aca="false">IF(P69="Yes",Scoring!$C$6,IF(P69="Partial",Scoring!$C$7,IF(P69="No",Scoring!$C$8,"")))</f>
        <v>0.5</v>
      </c>
      <c r="R69" s="13" t="n">
        <f aca="false">IF(Q69="",0,G69*Q69)</f>
        <v>1</v>
      </c>
      <c r="S69" s="13" t="n">
        <f aca="false">IF(Q69="",0,G69)</f>
        <v>2</v>
      </c>
      <c r="T69" s="13" t="str">
        <f aca="false">IF(OR(P69="Partial",P69="No"),I69,"")</f>
        <v>Offer several ways to ask for accessibility help and respond within 3 days, saying when a full answer will be provided.</v>
      </c>
      <c r="U69" s="14" t="n">
        <f aca="false">IF(Q69="",0,(1-Q69)*G69/SUMIFS($S$2:$S$97,$B$2:$B$97,B69)*INDEX(Scoring!$C$18:$C$27,MATCH(B69,Scoring!$B$18:$B$27,0)))</f>
        <v>0.571428571428571</v>
      </c>
      <c r="V69" s="14" t="n">
        <f aca="false">IF(U69&gt;0,U69+IF(AND(H69="Y",P69="No"),1000,0)+ROW()/100000,0)</f>
        <v>0.572118571428571</v>
      </c>
      <c r="W69" s="10" t="s">
        <v>197</v>
      </c>
      <c r="X69" s="15" t="s">
        <v>198</v>
      </c>
    </row>
    <row r="70" customFormat="false" ht="23.85" hidden="false" customHeight="false" outlineLevel="0" collapsed="false">
      <c r="A70" s="10" t="s">
        <v>633</v>
      </c>
      <c r="B70" s="10" t="s">
        <v>610</v>
      </c>
      <c r="C70" s="10" t="s">
        <v>634</v>
      </c>
      <c r="D70" s="10" t="s">
        <v>635</v>
      </c>
      <c r="E70" s="10" t="s">
        <v>99</v>
      </c>
      <c r="F70" s="10" t="s">
        <v>636</v>
      </c>
      <c r="G70" s="10" t="n">
        <v>2</v>
      </c>
      <c r="H70" s="10" t="s">
        <v>115</v>
      </c>
      <c r="I70" s="10" t="s">
        <v>637</v>
      </c>
      <c r="J70" s="10" t="s">
        <v>638</v>
      </c>
      <c r="K70" s="10"/>
      <c r="L70" s="10" t="s">
        <v>233</v>
      </c>
      <c r="M70" s="10" t="s">
        <v>106</v>
      </c>
      <c r="N70" s="10"/>
      <c r="P70" s="11" t="s">
        <v>108</v>
      </c>
      <c r="Q70" s="12" t="n">
        <f aca="false">IF(P70="Yes",Scoring!$C$6,IF(P70="Partial",Scoring!$C$7,IF(P70="No",Scoring!$C$8,"")))</f>
        <v>1</v>
      </c>
      <c r="R70" s="13" t="n">
        <f aca="false">IF(Q70="",0,G70*Q70)</f>
        <v>2</v>
      </c>
      <c r="S70" s="13" t="n">
        <f aca="false">IF(Q70="",0,G70)</f>
        <v>2</v>
      </c>
      <c r="T70" s="13" t="str">
        <f aca="false">IF(OR(P70="Partial",P70="No"),I70,"")</f>
        <v/>
      </c>
      <c r="U70" s="14" t="n">
        <f aca="false">IF(Q70="",0,(1-Q70)*G70/SUMIFS($S$2:$S$97,$B$2:$B$97,B70)*INDEX(Scoring!$C$18:$C$27,MATCH(B70,Scoring!$B$18:$B$27,0)))</f>
        <v>0</v>
      </c>
      <c r="V70" s="14" t="n">
        <f aca="false">IF(U70&gt;0,U70+IF(AND(H70="Y",P70="No"),1000,0)+ROW()/100000,0)</f>
        <v>0</v>
      </c>
      <c r="W70" s="10" t="s">
        <v>639</v>
      </c>
      <c r="X70" s="10"/>
    </row>
    <row r="71" customFormat="false" ht="35.05" hidden="false" customHeight="false" outlineLevel="0" collapsed="false">
      <c r="A71" s="10" t="s">
        <v>640</v>
      </c>
      <c r="B71" s="10" t="s">
        <v>610</v>
      </c>
      <c r="C71" s="10" t="s">
        <v>274</v>
      </c>
      <c r="D71" s="10" t="s">
        <v>641</v>
      </c>
      <c r="E71" s="10" t="s">
        <v>99</v>
      </c>
      <c r="F71" s="10" t="s">
        <v>642</v>
      </c>
      <c r="G71" s="10" t="n">
        <v>2</v>
      </c>
      <c r="H71" s="10" t="s">
        <v>115</v>
      </c>
      <c r="I71" s="10" t="s">
        <v>643</v>
      </c>
      <c r="J71" s="10" t="s">
        <v>644</v>
      </c>
      <c r="K71" s="10" t="s">
        <v>543</v>
      </c>
      <c r="L71" s="10" t="s">
        <v>233</v>
      </c>
      <c r="M71" s="10" t="s">
        <v>106</v>
      </c>
      <c r="N71" s="10"/>
      <c r="P71" s="11" t="s">
        <v>300</v>
      </c>
      <c r="Q71" s="12" t="n">
        <f aca="false">IF(P71="Yes",Scoring!$C$6,IF(P71="Partial",Scoring!$C$7,IF(P71="No",Scoring!$C$8,"")))</f>
        <v>0</v>
      </c>
      <c r="R71" s="13" t="n">
        <f aca="false">IF(Q71="",0,G71*Q71)</f>
        <v>0</v>
      </c>
      <c r="S71" s="13" t="n">
        <f aca="false">IF(Q71="",0,G71)</f>
        <v>2</v>
      </c>
      <c r="T71" s="13" t="str">
        <f aca="false">IF(OR(P71="Partial",P71="No"),I71,"")</f>
        <v>Add feedback options on each page and at the end of transactions, review feedback regularly and close the loop on changes made.</v>
      </c>
      <c r="U71" s="14" t="n">
        <f aca="false">IF(Q71="",0,(1-Q71)*G71/SUMIFS($S$2:$S$97,$B$2:$B$97,B71)*INDEX(Scoring!$C$18:$C$27,MATCH(B71,Scoring!$B$18:$B$27,0)))</f>
        <v>1.14285714285714</v>
      </c>
      <c r="V71" s="14" t="n">
        <f aca="false">IF(U71&gt;0,U71+IF(AND(H71="Y",P71="No"),1000,0)+ROW()/100000,0)</f>
        <v>1.14356714285714</v>
      </c>
      <c r="W71" s="10" t="s">
        <v>607</v>
      </c>
      <c r="X71" s="15" t="s">
        <v>608</v>
      </c>
    </row>
    <row r="72" customFormat="false" ht="23.85" hidden="false" customHeight="false" outlineLevel="0" collapsed="false">
      <c r="A72" s="10" t="s">
        <v>645</v>
      </c>
      <c r="B72" s="10" t="s">
        <v>610</v>
      </c>
      <c r="C72" s="10" t="s">
        <v>646</v>
      </c>
      <c r="D72" s="10" t="s">
        <v>647</v>
      </c>
      <c r="E72" s="10" t="s">
        <v>99</v>
      </c>
      <c r="F72" s="10" t="s">
        <v>648</v>
      </c>
      <c r="G72" s="10" t="n">
        <v>2</v>
      </c>
      <c r="H72" s="10" t="s">
        <v>115</v>
      </c>
      <c r="I72" s="10" t="s">
        <v>649</v>
      </c>
      <c r="J72" s="10" t="s">
        <v>650</v>
      </c>
      <c r="K72" s="10"/>
      <c r="L72" s="10" t="s">
        <v>119</v>
      </c>
      <c r="M72" s="10" t="s">
        <v>216</v>
      </c>
      <c r="N72" s="10"/>
      <c r="P72" s="11" t="s">
        <v>108</v>
      </c>
      <c r="Q72" s="12" t="n">
        <f aca="false">IF(P72="Yes",Scoring!$C$6,IF(P72="Partial",Scoring!$C$7,IF(P72="No",Scoring!$C$8,"")))</f>
        <v>1</v>
      </c>
      <c r="R72" s="13" t="n">
        <f aca="false">IF(Q72="",0,G72*Q72)</f>
        <v>2</v>
      </c>
      <c r="S72" s="13" t="n">
        <f aca="false">IF(Q72="",0,G72)</f>
        <v>2</v>
      </c>
      <c r="T72" s="13" t="str">
        <f aca="false">IF(OR(P72="Partial",P72="No"),I72,"")</f>
        <v/>
      </c>
      <c r="U72" s="14" t="n">
        <f aca="false">IF(Q72="",0,(1-Q72)*G72/SUMIFS($S$2:$S$97,$B$2:$B$97,B72)*INDEX(Scoring!$C$18:$C$27,MATCH(B72,Scoring!$B$18:$B$27,0)))</f>
        <v>0</v>
      </c>
      <c r="V72" s="14" t="n">
        <f aca="false">IF(U72&gt;0,U72+IF(AND(H72="Y",P72="No"),1000,0)+ROW()/100000,0)</f>
        <v>0</v>
      </c>
      <c r="W72" s="10" t="s">
        <v>651</v>
      </c>
      <c r="X72" s="15" t="s">
        <v>652</v>
      </c>
    </row>
    <row r="73" customFormat="false" ht="35.05" hidden="false" customHeight="false" outlineLevel="0" collapsed="false">
      <c r="A73" s="10" t="s">
        <v>653</v>
      </c>
      <c r="B73" s="10" t="s">
        <v>610</v>
      </c>
      <c r="C73" s="10" t="s">
        <v>654</v>
      </c>
      <c r="D73" s="10" t="s">
        <v>655</v>
      </c>
      <c r="E73" s="10" t="s">
        <v>99</v>
      </c>
      <c r="F73" s="10" t="s">
        <v>656</v>
      </c>
      <c r="G73" s="10" t="n">
        <v>1</v>
      </c>
      <c r="H73" s="10" t="s">
        <v>115</v>
      </c>
      <c r="I73" s="10" t="s">
        <v>657</v>
      </c>
      <c r="J73" s="10" t="s">
        <v>658</v>
      </c>
      <c r="K73" s="10"/>
      <c r="L73" s="10" t="s">
        <v>233</v>
      </c>
      <c r="M73" s="10" t="s">
        <v>216</v>
      </c>
      <c r="N73" s="10"/>
      <c r="P73" s="11" t="s">
        <v>129</v>
      </c>
      <c r="Q73" s="12" t="n">
        <f aca="false">IF(P73="Yes",Scoring!$C$6,IF(P73="Partial",Scoring!$C$7,IF(P73="No",Scoring!$C$8,"")))</f>
        <v>0.5</v>
      </c>
      <c r="R73" s="13" t="n">
        <f aca="false">IF(Q73="",0,G73*Q73)</f>
        <v>0.5</v>
      </c>
      <c r="S73" s="13" t="n">
        <f aca="false">IF(Q73="",0,G73)</f>
        <v>1</v>
      </c>
      <c r="T73" s="13" t="str">
        <f aca="false">IF(OR(P73="Partial",P73="No"),I73,"")</f>
        <v>Publish a complaints process with timeframes and information on how to escalate to the Ombudsman or Privacy Commissioner.</v>
      </c>
      <c r="U73" s="14" t="n">
        <f aca="false">IF(Q73="",0,(1-Q73)*G73/SUMIFS($S$2:$S$97,$B$2:$B$97,B73)*INDEX(Scoring!$C$18:$C$27,MATCH(B73,Scoring!$B$18:$B$27,0)))</f>
        <v>0.285714285714286</v>
      </c>
      <c r="V73" s="14" t="n">
        <f aca="false">IF(U73&gt;0,U73+IF(AND(H73="Y",P73="No"),1000,0)+ROW()/100000,0)</f>
        <v>0.286444285714286</v>
      </c>
      <c r="W73" s="10" t="s">
        <v>659</v>
      </c>
      <c r="X73" s="15" t="s">
        <v>660</v>
      </c>
    </row>
    <row r="74" customFormat="false" ht="23.85" hidden="false" customHeight="false" outlineLevel="0" collapsed="false">
      <c r="A74" s="10" t="s">
        <v>661</v>
      </c>
      <c r="B74" s="10" t="s">
        <v>662</v>
      </c>
      <c r="C74" s="10" t="s">
        <v>663</v>
      </c>
      <c r="D74" s="10" t="s">
        <v>664</v>
      </c>
      <c r="E74" s="10" t="s">
        <v>99</v>
      </c>
      <c r="F74" s="10" t="s">
        <v>665</v>
      </c>
      <c r="G74" s="10" t="n">
        <v>1</v>
      </c>
      <c r="H74" s="10" t="s">
        <v>115</v>
      </c>
      <c r="I74" s="10" t="s">
        <v>666</v>
      </c>
      <c r="J74" s="10" t="s">
        <v>667</v>
      </c>
      <c r="K74" s="10" t="s">
        <v>616</v>
      </c>
      <c r="L74" s="10" t="s">
        <v>105</v>
      </c>
      <c r="M74" s="10" t="s">
        <v>216</v>
      </c>
      <c r="N74" s="10"/>
      <c r="P74" s="11" t="s">
        <v>108</v>
      </c>
      <c r="Q74" s="12" t="n">
        <f aca="false">IF(P74="Yes",Scoring!$C$6,IF(P74="Partial",Scoring!$C$7,IF(P74="No",Scoring!$C$8,"")))</f>
        <v>1</v>
      </c>
      <c r="R74" s="13" t="n">
        <f aca="false">IF(Q74="",0,G74*Q74)</f>
        <v>1</v>
      </c>
      <c r="S74" s="13" t="n">
        <f aca="false">IF(Q74="",0,G74)</f>
        <v>1</v>
      </c>
      <c r="T74" s="13" t="str">
        <f aca="false">IF(OR(P74="Partial",P74="No"),I74,"")</f>
        <v/>
      </c>
      <c r="U74" s="14" t="n">
        <f aca="false">IF(Q74="",0,(1-Q74)*G74/SUMIFS($S$2:$S$97,$B$2:$B$97,B74)*INDEX(Scoring!$C$18:$C$27,MATCH(B74,Scoring!$B$18:$B$27,0)))</f>
        <v>0</v>
      </c>
      <c r="V74" s="14" t="n">
        <f aca="false">IF(U74&gt;0,U74+IF(AND(H74="Y",P74="No"),1000,0)+ROW()/100000,0)</f>
        <v>0</v>
      </c>
      <c r="W74" s="10" t="s">
        <v>668</v>
      </c>
      <c r="X74" s="15" t="s">
        <v>669</v>
      </c>
    </row>
    <row r="75" customFormat="false" ht="23.85" hidden="false" customHeight="false" outlineLevel="0" collapsed="false">
      <c r="A75" s="10" t="s">
        <v>670</v>
      </c>
      <c r="B75" s="10" t="s">
        <v>662</v>
      </c>
      <c r="C75" s="10" t="s">
        <v>671</v>
      </c>
      <c r="D75" s="10" t="s">
        <v>672</v>
      </c>
      <c r="E75" s="10" t="s">
        <v>99</v>
      </c>
      <c r="F75" s="10" t="s">
        <v>673</v>
      </c>
      <c r="G75" s="10" t="n">
        <v>2</v>
      </c>
      <c r="H75" s="10" t="s">
        <v>115</v>
      </c>
      <c r="I75" s="10" t="s">
        <v>674</v>
      </c>
      <c r="J75" s="10" t="s">
        <v>675</v>
      </c>
      <c r="K75" s="10"/>
      <c r="L75" s="10" t="s">
        <v>105</v>
      </c>
      <c r="M75" s="10" t="s">
        <v>106</v>
      </c>
      <c r="N75" s="10"/>
      <c r="P75" s="11" t="s">
        <v>108</v>
      </c>
      <c r="Q75" s="12" t="n">
        <f aca="false">IF(P75="Yes",Scoring!$C$6,IF(P75="Partial",Scoring!$C$7,IF(P75="No",Scoring!$C$8,"")))</f>
        <v>1</v>
      </c>
      <c r="R75" s="13" t="n">
        <f aca="false">IF(Q75="",0,G75*Q75)</f>
        <v>2</v>
      </c>
      <c r="S75" s="13" t="n">
        <f aca="false">IF(Q75="",0,G75)</f>
        <v>2</v>
      </c>
      <c r="T75" s="13" t="str">
        <f aca="false">IF(OR(P75="Partial",P75="No"),I75,"")</f>
        <v/>
      </c>
      <c r="U75" s="14" t="n">
        <f aca="false">IF(Q75="",0,(1-Q75)*G75/SUMIFS($S$2:$S$97,$B$2:$B$97,B75)*INDEX(Scoring!$C$18:$C$27,MATCH(B75,Scoring!$B$18:$B$27,0)))</f>
        <v>0</v>
      </c>
      <c r="V75" s="14" t="n">
        <f aca="false">IF(U75&gt;0,U75+IF(AND(H75="Y",P75="No"),1000,0)+ROW()/100000,0)</f>
        <v>0</v>
      </c>
      <c r="W75" s="10" t="s">
        <v>676</v>
      </c>
      <c r="X75" s="15" t="s">
        <v>677</v>
      </c>
    </row>
    <row r="76" customFormat="false" ht="35.05" hidden="false" customHeight="false" outlineLevel="0" collapsed="false">
      <c r="A76" s="10" t="s">
        <v>678</v>
      </c>
      <c r="B76" s="10" t="s">
        <v>662</v>
      </c>
      <c r="C76" s="10" t="s">
        <v>679</v>
      </c>
      <c r="D76" s="10" t="s">
        <v>680</v>
      </c>
      <c r="E76" s="10" t="s">
        <v>99</v>
      </c>
      <c r="F76" s="10" t="s">
        <v>681</v>
      </c>
      <c r="G76" s="10" t="n">
        <v>1</v>
      </c>
      <c r="H76" s="10" t="s">
        <v>115</v>
      </c>
      <c r="I76" s="10" t="s">
        <v>682</v>
      </c>
      <c r="J76" s="10" t="s">
        <v>683</v>
      </c>
      <c r="K76" s="10"/>
      <c r="L76" s="10" t="s">
        <v>105</v>
      </c>
      <c r="M76" s="10" t="s">
        <v>106</v>
      </c>
      <c r="N76" s="10"/>
      <c r="P76" s="11" t="s">
        <v>129</v>
      </c>
      <c r="Q76" s="12" t="n">
        <f aca="false">IF(P76="Yes",Scoring!$C$6,IF(P76="Partial",Scoring!$C$7,IF(P76="No",Scoring!$C$8,"")))</f>
        <v>0.5</v>
      </c>
      <c r="R76" s="13" t="n">
        <f aca="false">IF(Q76="",0,G76*Q76)</f>
        <v>0.5</v>
      </c>
      <c r="S76" s="13" t="n">
        <f aca="false">IF(Q76="",0,G76)</f>
        <v>1</v>
      </c>
      <c r="T76" s="13" t="str">
        <f aca="false">IF(OR(P76="Partial",P76="No"),I76,"")</f>
        <v>Make sure information can be searched and extracted to answer OIA and Privacy Act requests within statutory timeframes.</v>
      </c>
      <c r="U76" s="14" t="n">
        <f aca="false">IF(Q76="",0,(1-Q76)*G76/SUMIFS($S$2:$S$97,$B$2:$B$97,B76)*INDEX(Scoring!$C$18:$C$27,MATCH(B76,Scoring!$B$18:$B$27,0)))</f>
        <v>0.230769230769231</v>
      </c>
      <c r="V76" s="14" t="n">
        <f aca="false">IF(U76&gt;0,U76+IF(AND(H76="Y",P76="No"),1000,0)+ROW()/100000,0)</f>
        <v>0.231529230769231</v>
      </c>
      <c r="W76" s="10" t="s">
        <v>684</v>
      </c>
      <c r="X76" s="15" t="s">
        <v>685</v>
      </c>
    </row>
    <row r="77" customFormat="false" ht="35.05" hidden="false" customHeight="false" outlineLevel="0" collapsed="false">
      <c r="A77" s="10" t="s">
        <v>686</v>
      </c>
      <c r="B77" s="10" t="s">
        <v>662</v>
      </c>
      <c r="C77" s="10" t="s">
        <v>687</v>
      </c>
      <c r="D77" s="10" t="s">
        <v>688</v>
      </c>
      <c r="E77" s="10" t="s">
        <v>99</v>
      </c>
      <c r="F77" s="10" t="s">
        <v>689</v>
      </c>
      <c r="G77" s="10" t="n">
        <v>2</v>
      </c>
      <c r="H77" s="10" t="s">
        <v>115</v>
      </c>
      <c r="I77" s="10" t="s">
        <v>690</v>
      </c>
      <c r="J77" s="10" t="s">
        <v>691</v>
      </c>
      <c r="K77" s="10"/>
      <c r="L77" s="10" t="s">
        <v>105</v>
      </c>
      <c r="M77" s="10" t="s">
        <v>106</v>
      </c>
      <c r="N77" s="10"/>
      <c r="P77" s="11" t="s">
        <v>108</v>
      </c>
      <c r="Q77" s="12" t="n">
        <f aca="false">IF(P77="Yes",Scoring!$C$6,IF(P77="Partial",Scoring!$C$7,IF(P77="No",Scoring!$C$8,"")))</f>
        <v>1</v>
      </c>
      <c r="R77" s="13" t="n">
        <f aca="false">IF(Q77="",0,G77*Q77)</f>
        <v>2</v>
      </c>
      <c r="S77" s="13" t="n">
        <f aca="false">IF(Q77="",0,G77)</f>
        <v>2</v>
      </c>
      <c r="T77" s="13" t="str">
        <f aca="false">IF(OR(P77="Partial",P77="No"),I77,"")</f>
        <v/>
      </c>
      <c r="U77" s="14" t="n">
        <f aca="false">IF(Q77="",0,(1-Q77)*G77/SUMIFS($S$2:$S$97,$B$2:$B$97,B77)*INDEX(Scoring!$C$18:$C$27,MATCH(B77,Scoring!$B$18:$B$27,0)))</f>
        <v>0</v>
      </c>
      <c r="V77" s="14" t="n">
        <f aca="false">IF(U77&gt;0,U77+IF(AND(H77="Y",P77="No"),1000,0)+ROW()/100000,0)</f>
        <v>0</v>
      </c>
      <c r="W77" s="10" t="s">
        <v>692</v>
      </c>
      <c r="X77" s="15" t="s">
        <v>693</v>
      </c>
    </row>
    <row r="78" customFormat="false" ht="35.05" hidden="false" customHeight="false" outlineLevel="0" collapsed="false">
      <c r="A78" s="10" t="s">
        <v>694</v>
      </c>
      <c r="B78" s="10" t="s">
        <v>662</v>
      </c>
      <c r="C78" s="10" t="s">
        <v>695</v>
      </c>
      <c r="D78" s="10" t="s">
        <v>696</v>
      </c>
      <c r="E78" s="10" t="s">
        <v>99</v>
      </c>
      <c r="F78" s="10" t="s">
        <v>697</v>
      </c>
      <c r="G78" s="10" t="n">
        <v>2</v>
      </c>
      <c r="H78" s="10" t="s">
        <v>115</v>
      </c>
      <c r="I78" s="10" t="s">
        <v>698</v>
      </c>
      <c r="J78" s="10" t="s">
        <v>699</v>
      </c>
      <c r="K78" s="10" t="s">
        <v>700</v>
      </c>
      <c r="L78" s="10" t="s">
        <v>105</v>
      </c>
      <c r="M78" s="10" t="s">
        <v>167</v>
      </c>
      <c r="N78" s="10"/>
      <c r="P78" s="11" t="s">
        <v>300</v>
      </c>
      <c r="Q78" s="12" t="n">
        <f aca="false">IF(P78="Yes",Scoring!$C$6,IF(P78="Partial",Scoring!$C$7,IF(P78="No",Scoring!$C$8,"")))</f>
        <v>0</v>
      </c>
      <c r="R78" s="13" t="n">
        <f aca="false">IF(Q78="",0,G78*Q78)</f>
        <v>0</v>
      </c>
      <c r="S78" s="13" t="n">
        <f aca="false">IF(Q78="",0,G78)</f>
        <v>2</v>
      </c>
      <c r="T78" s="13" t="str">
        <f aca="false">IF(OR(P78="Partial",P78="No"),I78,"")</f>
        <v>Have the service's rules and content reviewed against the empowering legislation, and tell users about their rights of review or appeal.</v>
      </c>
      <c r="U78" s="14" t="n">
        <f aca="false">IF(Q78="",0,(1-Q78)*G78/SUMIFS($S$2:$S$97,$B$2:$B$97,B78)*INDEX(Scoring!$C$18:$C$27,MATCH(B78,Scoring!$B$18:$B$27,0)))</f>
        <v>0.923076923076923</v>
      </c>
      <c r="V78" s="14" t="n">
        <f aca="false">IF(U78&gt;0,U78+IF(AND(H78="Y",P78="No"),1000,0)+ROW()/100000,0)</f>
        <v>0.923856923076923</v>
      </c>
      <c r="W78" s="10" t="s">
        <v>701</v>
      </c>
      <c r="X78" s="10"/>
    </row>
    <row r="79" customFormat="false" ht="23.85" hidden="false" customHeight="false" outlineLevel="0" collapsed="false">
      <c r="A79" s="10" t="s">
        <v>702</v>
      </c>
      <c r="B79" s="10" t="s">
        <v>662</v>
      </c>
      <c r="C79" s="10" t="s">
        <v>703</v>
      </c>
      <c r="D79" s="10" t="s">
        <v>704</v>
      </c>
      <c r="E79" s="10" t="s">
        <v>99</v>
      </c>
      <c r="F79" s="10" t="s">
        <v>705</v>
      </c>
      <c r="G79" s="10" t="n">
        <v>1</v>
      </c>
      <c r="H79" s="10" t="s">
        <v>115</v>
      </c>
      <c r="I79" s="10" t="s">
        <v>706</v>
      </c>
      <c r="J79" s="10" t="s">
        <v>233</v>
      </c>
      <c r="K79" s="10"/>
      <c r="L79" s="10" t="s">
        <v>233</v>
      </c>
      <c r="M79" s="10" t="s">
        <v>173</v>
      </c>
      <c r="N79" s="10"/>
      <c r="P79" s="11" t="s">
        <v>108</v>
      </c>
      <c r="Q79" s="12" t="n">
        <f aca="false">IF(P79="Yes",Scoring!$C$6,IF(P79="Partial",Scoring!$C$7,IF(P79="No",Scoring!$C$8,"")))</f>
        <v>1</v>
      </c>
      <c r="R79" s="13" t="n">
        <f aca="false">IF(Q79="",0,G79*Q79)</f>
        <v>1</v>
      </c>
      <c r="S79" s="13" t="n">
        <f aca="false">IF(Q79="",0,G79)</f>
        <v>1</v>
      </c>
      <c r="T79" s="13" t="str">
        <f aca="false">IF(OR(P79="Partial",P79="No"),I79,"")</f>
        <v/>
      </c>
      <c r="U79" s="14" t="n">
        <f aca="false">IF(Q79="",0,(1-Q79)*G79/SUMIFS($S$2:$S$97,$B$2:$B$97,B79)*INDEX(Scoring!$C$18:$C$27,MATCH(B79,Scoring!$B$18:$B$27,0)))</f>
        <v>0</v>
      </c>
      <c r="V79" s="14" t="n">
        <f aca="false">IF(U79&gt;0,U79+IF(AND(H79="Y",P79="No"),1000,0)+ROW()/100000,0)</f>
        <v>0</v>
      </c>
      <c r="W79" s="10" t="s">
        <v>639</v>
      </c>
      <c r="X79" s="10"/>
    </row>
    <row r="80" customFormat="false" ht="35.05" hidden="false" customHeight="false" outlineLevel="0" collapsed="false">
      <c r="A80" s="10" t="s">
        <v>707</v>
      </c>
      <c r="B80" s="10" t="s">
        <v>662</v>
      </c>
      <c r="C80" s="10" t="s">
        <v>708</v>
      </c>
      <c r="D80" s="10" t="s">
        <v>709</v>
      </c>
      <c r="E80" s="10" t="s">
        <v>99</v>
      </c>
      <c r="F80" s="10" t="s">
        <v>710</v>
      </c>
      <c r="G80" s="10" t="n">
        <v>1</v>
      </c>
      <c r="H80" s="10" t="s">
        <v>115</v>
      </c>
      <c r="I80" s="10" t="s">
        <v>711</v>
      </c>
      <c r="J80" s="10" t="s">
        <v>712</v>
      </c>
      <c r="K80" s="10"/>
      <c r="L80" s="10" t="s">
        <v>119</v>
      </c>
      <c r="M80" s="10" t="s">
        <v>713</v>
      </c>
      <c r="N80" s="10"/>
      <c r="P80" s="11" t="s">
        <v>714</v>
      </c>
      <c r="Q80" s="12" t="str">
        <f aca="false">IF(P80="Yes",Scoring!$C$6,IF(P80="Partial",Scoring!$C$7,IF(P80="No",Scoring!$C$8,"")))</f>
        <v/>
      </c>
      <c r="R80" s="13" t="n">
        <f aca="false">IF(Q80="",0,G80*Q80)</f>
        <v>0</v>
      </c>
      <c r="S80" s="13" t="n">
        <f aca="false">IF(Q80="",0,G80)</f>
        <v>0</v>
      </c>
      <c r="T80" s="13" t="str">
        <f aca="false">IF(OR(P80="Partial",P80="No"),I80,"")</f>
        <v/>
      </c>
      <c r="U80" s="14" t="n">
        <f aca="false">IF(Q80="",0,(1-Q80)*G80/SUMIFS($S$2:$S$97,$B$2:$B$97,B80)*INDEX(Scoring!$C$18:$C$27,MATCH(B80,Scoring!$B$18:$B$27,0)))</f>
        <v>0</v>
      </c>
      <c r="V80" s="14" t="n">
        <f aca="false">IF(U80&gt;0,U80+IF(AND(H80="Y",P80="No"),1000,0)+ROW()/100000,0)</f>
        <v>0</v>
      </c>
      <c r="W80" s="10" t="s">
        <v>715</v>
      </c>
      <c r="X80" s="15" t="s">
        <v>716</v>
      </c>
    </row>
    <row r="81" customFormat="false" ht="23.85" hidden="false" customHeight="false" outlineLevel="0" collapsed="false">
      <c r="A81" s="10" t="s">
        <v>717</v>
      </c>
      <c r="B81" s="10" t="s">
        <v>662</v>
      </c>
      <c r="C81" s="10" t="s">
        <v>718</v>
      </c>
      <c r="D81" s="10" t="s">
        <v>719</v>
      </c>
      <c r="E81" s="10" t="s">
        <v>99</v>
      </c>
      <c r="F81" s="10" t="s">
        <v>720</v>
      </c>
      <c r="G81" s="10" t="n">
        <v>1</v>
      </c>
      <c r="H81" s="10" t="s">
        <v>115</v>
      </c>
      <c r="I81" s="10" t="s">
        <v>721</v>
      </c>
      <c r="J81" s="10" t="s">
        <v>722</v>
      </c>
      <c r="K81" s="10"/>
      <c r="L81" s="10" t="s">
        <v>119</v>
      </c>
      <c r="M81" s="10" t="s">
        <v>106</v>
      </c>
      <c r="N81" s="10"/>
      <c r="P81" s="11" t="s">
        <v>108</v>
      </c>
      <c r="Q81" s="12" t="n">
        <f aca="false">IF(P81="Yes",Scoring!$C$6,IF(P81="Partial",Scoring!$C$7,IF(P81="No",Scoring!$C$8,"")))</f>
        <v>1</v>
      </c>
      <c r="R81" s="13" t="n">
        <f aca="false">IF(Q81="",0,G81*Q81)</f>
        <v>1</v>
      </c>
      <c r="S81" s="13" t="n">
        <f aca="false">IF(Q81="",0,G81)</f>
        <v>1</v>
      </c>
      <c r="T81" s="13" t="str">
        <f aca="false">IF(OR(P81="Partial",P81="No"),I81,"")</f>
        <v/>
      </c>
      <c r="U81" s="14" t="n">
        <f aca="false">IF(Q81="",0,(1-Q81)*G81/SUMIFS($S$2:$S$97,$B$2:$B$97,B81)*INDEX(Scoring!$C$18:$C$27,MATCH(B81,Scoring!$B$18:$B$27,0)))</f>
        <v>0</v>
      </c>
      <c r="V81" s="14" t="n">
        <f aca="false">IF(U81&gt;0,U81+IF(AND(H81="Y",P81="No"),1000,0)+ROW()/100000,0)</f>
        <v>0</v>
      </c>
      <c r="W81" s="10" t="s">
        <v>723</v>
      </c>
      <c r="X81" s="15" t="s">
        <v>724</v>
      </c>
    </row>
    <row r="82" customFormat="false" ht="68.65" hidden="false" customHeight="false" outlineLevel="0" collapsed="false">
      <c r="A82" s="10" t="s">
        <v>725</v>
      </c>
      <c r="B82" s="10" t="s">
        <v>662</v>
      </c>
      <c r="C82" s="10" t="s">
        <v>726</v>
      </c>
      <c r="D82" s="10" t="s">
        <v>727</v>
      </c>
      <c r="E82" s="10" t="s">
        <v>99</v>
      </c>
      <c r="F82" s="10" t="s">
        <v>728</v>
      </c>
      <c r="G82" s="10" t="n">
        <v>3</v>
      </c>
      <c r="H82" s="10" t="s">
        <v>115</v>
      </c>
      <c r="I82" s="10" t="s">
        <v>729</v>
      </c>
      <c r="J82" s="10" t="s">
        <v>730</v>
      </c>
      <c r="K82" s="10" t="s">
        <v>731</v>
      </c>
      <c r="L82" s="10" t="s">
        <v>105</v>
      </c>
      <c r="M82" s="10" t="s">
        <v>106</v>
      </c>
      <c r="N82" s="10" t="s">
        <v>732</v>
      </c>
      <c r="P82" s="11" t="s">
        <v>129</v>
      </c>
      <c r="Q82" s="12" t="n">
        <f aca="false">IF(P82="Yes",Scoring!$C$6,IF(P82="Partial",Scoring!$C$7,IF(P82="No",Scoring!$C$8,"")))</f>
        <v>0.5</v>
      </c>
      <c r="R82" s="13" t="n">
        <f aca="false">IF(Q82="",0,G82*Q82)</f>
        <v>1.5</v>
      </c>
      <c r="S82" s="13" t="n">
        <f aca="false">IF(Q82="",0,G82)</f>
        <v>3</v>
      </c>
      <c r="T82" s="13" t="str">
        <f aca="false">IF(OR(P82="Partial",P82="No"),I82,"")</f>
        <v>Create and maintain a register of the legislation the service is subject to - including service-specific Acts such as the Planning Act and Natural Environment Act, and cross-cutting obligations on equal access, legal basis, public records and information access - have it reviewed by legal advisors, and re-check it when legislation or the service changes.</v>
      </c>
      <c r="U82" s="14" t="n">
        <f aca="false">IF(Q82="",0,(1-Q82)*G82/SUMIFS($S$2:$S$97,$B$2:$B$97,B82)*INDEX(Scoring!$C$18:$C$27,MATCH(B82,Scoring!$B$18:$B$27,0)))</f>
        <v>0.692307692307692</v>
      </c>
      <c r="V82" s="14" t="n">
        <f aca="false">IF(U82&gt;0,U82+IF(AND(H82="Y",P82="No"),1000,0)+ROW()/100000,0)</f>
        <v>0.693127692307692</v>
      </c>
      <c r="W82" s="10" t="s">
        <v>733</v>
      </c>
      <c r="X82" s="15" t="s">
        <v>734</v>
      </c>
    </row>
    <row r="83" customFormat="false" ht="23.85" hidden="false" customHeight="false" outlineLevel="0" collapsed="false">
      <c r="A83" s="10" t="s">
        <v>735</v>
      </c>
      <c r="B83" s="10" t="s">
        <v>736</v>
      </c>
      <c r="C83" s="10" t="s">
        <v>737</v>
      </c>
      <c r="D83" s="10" t="s">
        <v>738</v>
      </c>
      <c r="E83" s="10" t="s">
        <v>99</v>
      </c>
      <c r="F83" s="10" t="s">
        <v>739</v>
      </c>
      <c r="G83" s="10" t="n">
        <v>2</v>
      </c>
      <c r="H83" s="10" t="s">
        <v>115</v>
      </c>
      <c r="I83" s="10" t="s">
        <v>740</v>
      </c>
      <c r="J83" s="10" t="s">
        <v>741</v>
      </c>
      <c r="K83" s="10"/>
      <c r="L83" s="10" t="s">
        <v>233</v>
      </c>
      <c r="M83" s="10" t="s">
        <v>106</v>
      </c>
      <c r="N83" s="10"/>
      <c r="P83" s="11" t="s">
        <v>108</v>
      </c>
      <c r="Q83" s="12" t="n">
        <f aca="false">IF(P83="Yes",Scoring!$C$6,IF(P83="Partial",Scoring!$C$7,IF(P83="No",Scoring!$C$8,"")))</f>
        <v>1</v>
      </c>
      <c r="R83" s="13" t="n">
        <f aca="false">IF(Q83="",0,G83*Q83)</f>
        <v>2</v>
      </c>
      <c r="S83" s="13" t="n">
        <f aca="false">IF(Q83="",0,G83)</f>
        <v>2</v>
      </c>
      <c r="T83" s="13" t="str">
        <f aca="false">IF(OR(P83="Partial",P83="No"),I83,"")</f>
        <v/>
      </c>
      <c r="U83" s="14" t="n">
        <f aca="false">IF(Q83="",0,(1-Q83)*G83/SUMIFS($S$2:$S$97,$B$2:$B$97,B83)*INDEX(Scoring!$C$18:$C$27,MATCH(B83,Scoring!$B$18:$B$27,0)))</f>
        <v>0</v>
      </c>
      <c r="V83" s="14" t="n">
        <f aca="false">IF(U83&gt;0,U83+IF(AND(H83="Y",P83="No"),1000,0)+ROW()/100000,0)</f>
        <v>0</v>
      </c>
      <c r="W83" s="10" t="s">
        <v>742</v>
      </c>
      <c r="X83" s="15" t="s">
        <v>743</v>
      </c>
    </row>
    <row r="84" customFormat="false" ht="23.85" hidden="false" customHeight="false" outlineLevel="0" collapsed="false">
      <c r="A84" s="10" t="s">
        <v>744</v>
      </c>
      <c r="B84" s="10" t="s">
        <v>736</v>
      </c>
      <c r="C84" s="10" t="s">
        <v>745</v>
      </c>
      <c r="D84" s="10" t="s">
        <v>746</v>
      </c>
      <c r="E84" s="10" t="s">
        <v>99</v>
      </c>
      <c r="F84" s="10" t="s">
        <v>747</v>
      </c>
      <c r="G84" s="10" t="n">
        <v>2</v>
      </c>
      <c r="H84" s="10" t="s">
        <v>115</v>
      </c>
      <c r="I84" s="10" t="s">
        <v>748</v>
      </c>
      <c r="J84" s="10" t="s">
        <v>749</v>
      </c>
      <c r="K84" s="10"/>
      <c r="L84" s="10" t="s">
        <v>233</v>
      </c>
      <c r="M84" s="10" t="s">
        <v>106</v>
      </c>
      <c r="N84" s="10"/>
      <c r="P84" s="11" t="s">
        <v>300</v>
      </c>
      <c r="Q84" s="12" t="n">
        <f aca="false">IF(P84="Yes",Scoring!$C$6,IF(P84="Partial",Scoring!$C$7,IF(P84="No",Scoring!$C$8,"")))</f>
        <v>0</v>
      </c>
      <c r="R84" s="13" t="n">
        <f aca="false">IF(Q84="",0,G84*Q84)</f>
        <v>0</v>
      </c>
      <c r="S84" s="13" t="n">
        <f aca="false">IF(Q84="",0,G84)</f>
        <v>2</v>
      </c>
      <c r="T84" s="13" t="str">
        <f aca="false">IF(OR(P84="Partial",P84="No"),I84,"")</f>
        <v>Assign owners and review dates to all content, review at least annually and remove or archive content that is out of date.</v>
      </c>
      <c r="U84" s="14" t="n">
        <f aca="false">IF(Q84="",0,(1-Q84)*G84/SUMIFS($S$2:$S$97,$B$2:$B$97,B84)*INDEX(Scoring!$C$18:$C$27,MATCH(B84,Scoring!$B$18:$B$27,0)))</f>
        <v>0.625</v>
      </c>
      <c r="V84" s="14" t="n">
        <f aca="false">IF(U84&gt;0,U84+IF(AND(H84="Y",P84="No"),1000,0)+ROW()/100000,0)</f>
        <v>0.62584</v>
      </c>
      <c r="W84" s="10" t="s">
        <v>366</v>
      </c>
      <c r="X84" s="15" t="s">
        <v>367</v>
      </c>
    </row>
    <row r="85" customFormat="false" ht="35.05" hidden="false" customHeight="false" outlineLevel="0" collapsed="false">
      <c r="A85" s="10" t="s">
        <v>750</v>
      </c>
      <c r="B85" s="10" t="s">
        <v>736</v>
      </c>
      <c r="C85" s="10" t="s">
        <v>751</v>
      </c>
      <c r="D85" s="10" t="s">
        <v>752</v>
      </c>
      <c r="E85" s="10" t="s">
        <v>99</v>
      </c>
      <c r="F85" s="10" t="s">
        <v>753</v>
      </c>
      <c r="G85" s="10" t="n">
        <v>2</v>
      </c>
      <c r="H85" s="10" t="s">
        <v>115</v>
      </c>
      <c r="I85" s="10" t="s">
        <v>754</v>
      </c>
      <c r="J85" s="10" t="s">
        <v>755</v>
      </c>
      <c r="K85" s="10" t="s">
        <v>756</v>
      </c>
      <c r="L85" s="10" t="s">
        <v>233</v>
      </c>
      <c r="M85" s="10" t="s">
        <v>757</v>
      </c>
      <c r="N85" s="10"/>
      <c r="P85" s="11" t="s">
        <v>108</v>
      </c>
      <c r="Q85" s="12" t="n">
        <f aca="false">IF(P85="Yes",Scoring!$C$6,IF(P85="Partial",Scoring!$C$7,IF(P85="No",Scoring!$C$8,"")))</f>
        <v>1</v>
      </c>
      <c r="R85" s="13" t="n">
        <f aca="false">IF(Q85="",0,G85*Q85)</f>
        <v>2</v>
      </c>
      <c r="S85" s="13" t="n">
        <f aca="false">IF(Q85="",0,G85)</f>
        <v>2</v>
      </c>
      <c r="T85" s="13" t="str">
        <f aca="false">IF(OR(P85="Partial",P85="No"),I85,"")</f>
        <v/>
      </c>
      <c r="U85" s="14" t="n">
        <f aca="false">IF(Q85="",0,(1-Q85)*G85/SUMIFS($S$2:$S$97,$B$2:$B$97,B85)*INDEX(Scoring!$C$18:$C$27,MATCH(B85,Scoring!$B$18:$B$27,0)))</f>
        <v>0</v>
      </c>
      <c r="V85" s="14" t="n">
        <f aca="false">IF(U85&gt;0,U85+IF(AND(H85="Y",P85="No"),1000,0)+ROW()/100000,0)</f>
        <v>0</v>
      </c>
      <c r="W85" s="10" t="s">
        <v>758</v>
      </c>
      <c r="X85" s="15" t="s">
        <v>759</v>
      </c>
    </row>
    <row r="86" customFormat="false" ht="23.85" hidden="false" customHeight="false" outlineLevel="0" collapsed="false">
      <c r="A86" s="10" t="s">
        <v>760</v>
      </c>
      <c r="B86" s="10" t="s">
        <v>736</v>
      </c>
      <c r="C86" s="10" t="s">
        <v>761</v>
      </c>
      <c r="D86" s="10" t="s">
        <v>762</v>
      </c>
      <c r="E86" s="10" t="s">
        <v>99</v>
      </c>
      <c r="F86" s="10" t="s">
        <v>763</v>
      </c>
      <c r="G86" s="10" t="n">
        <v>1</v>
      </c>
      <c r="H86" s="10" t="s">
        <v>115</v>
      </c>
      <c r="I86" s="10" t="s">
        <v>764</v>
      </c>
      <c r="J86" s="10" t="s">
        <v>233</v>
      </c>
      <c r="K86" s="10"/>
      <c r="L86" s="10" t="s">
        <v>233</v>
      </c>
      <c r="M86" s="10" t="s">
        <v>757</v>
      </c>
      <c r="N86" s="10"/>
      <c r="P86" s="11" t="s">
        <v>129</v>
      </c>
      <c r="Q86" s="12" t="n">
        <f aca="false">IF(P86="Yes",Scoring!$C$6,IF(P86="Partial",Scoring!$C$7,IF(P86="No",Scoring!$C$8,"")))</f>
        <v>0.5</v>
      </c>
      <c r="R86" s="13" t="n">
        <f aca="false">IF(Q86="",0,G86*Q86)</f>
        <v>0.5</v>
      </c>
      <c r="S86" s="13" t="n">
        <f aca="false">IF(Q86="",0,G86)</f>
        <v>1</v>
      </c>
      <c r="T86" s="13" t="str">
        <f aca="false">IF(OR(P86="Partial",P86="No"),I86,"")</f>
        <v>Set up a review and approval workflow and train authors in plain language, accessibility and the style guide.</v>
      </c>
      <c r="U86" s="14" t="n">
        <f aca="false">IF(Q86="",0,(1-Q86)*G86/SUMIFS($S$2:$S$97,$B$2:$B$97,B86)*INDEX(Scoring!$C$18:$C$27,MATCH(B86,Scoring!$B$18:$B$27,0)))</f>
        <v>0.15625</v>
      </c>
      <c r="V86" s="14" t="n">
        <f aca="false">IF(U86&gt;0,U86+IF(AND(H86="Y",P86="No"),1000,0)+ROW()/100000,0)</f>
        <v>0.15711</v>
      </c>
      <c r="W86" s="10" t="s">
        <v>758</v>
      </c>
      <c r="X86" s="15" t="s">
        <v>759</v>
      </c>
    </row>
    <row r="87" customFormat="false" ht="23.85" hidden="false" customHeight="false" outlineLevel="0" collapsed="false">
      <c r="A87" s="10" t="s">
        <v>765</v>
      </c>
      <c r="B87" s="10" t="s">
        <v>736</v>
      </c>
      <c r="C87" s="10" t="s">
        <v>766</v>
      </c>
      <c r="D87" s="10" t="s">
        <v>767</v>
      </c>
      <c r="E87" s="10" t="s">
        <v>99</v>
      </c>
      <c r="F87" s="10" t="s">
        <v>768</v>
      </c>
      <c r="G87" s="10" t="n">
        <v>1</v>
      </c>
      <c r="H87" s="10" t="s">
        <v>115</v>
      </c>
      <c r="I87" s="10" t="s">
        <v>769</v>
      </c>
      <c r="J87" s="10" t="s">
        <v>233</v>
      </c>
      <c r="K87" s="10"/>
      <c r="L87" s="10" t="s">
        <v>233</v>
      </c>
      <c r="M87" s="10" t="s">
        <v>106</v>
      </c>
      <c r="N87" s="10"/>
      <c r="P87" s="11" t="s">
        <v>108</v>
      </c>
      <c r="Q87" s="12" t="n">
        <f aca="false">IF(P87="Yes",Scoring!$C$6,IF(P87="Partial",Scoring!$C$7,IF(P87="No",Scoring!$C$8,"")))</f>
        <v>1</v>
      </c>
      <c r="R87" s="13" t="n">
        <f aca="false">IF(Q87="",0,G87*Q87)</f>
        <v>1</v>
      </c>
      <c r="S87" s="13" t="n">
        <f aca="false">IF(Q87="",0,G87)</f>
        <v>1</v>
      </c>
      <c r="T87" s="13" t="str">
        <f aca="false">IF(OR(P87="Partial",P87="No"),I87,"")</f>
        <v/>
      </c>
      <c r="U87" s="14" t="n">
        <f aca="false">IF(Q87="",0,(1-Q87)*G87/SUMIFS($S$2:$S$97,$B$2:$B$97,B87)*INDEX(Scoring!$C$18:$C$27,MATCH(B87,Scoring!$B$18:$B$27,0)))</f>
        <v>0</v>
      </c>
      <c r="V87" s="14" t="n">
        <f aca="false">IF(U87&gt;0,U87+IF(AND(H87="Y",P87="No"),1000,0)+ROW()/100000,0)</f>
        <v>0</v>
      </c>
      <c r="W87" s="10" t="s">
        <v>639</v>
      </c>
      <c r="X87" s="10"/>
    </row>
    <row r="88" customFormat="false" ht="23.85" hidden="false" customHeight="false" outlineLevel="0" collapsed="false">
      <c r="A88" s="10" t="s">
        <v>770</v>
      </c>
      <c r="B88" s="10" t="s">
        <v>736</v>
      </c>
      <c r="C88" s="10" t="s">
        <v>771</v>
      </c>
      <c r="D88" s="10" t="s">
        <v>772</v>
      </c>
      <c r="E88" s="10" t="s">
        <v>99</v>
      </c>
      <c r="F88" s="10" t="s">
        <v>773</v>
      </c>
      <c r="G88" s="10" t="n">
        <v>2</v>
      </c>
      <c r="H88" s="10" t="s">
        <v>115</v>
      </c>
      <c r="I88" s="10" t="s">
        <v>774</v>
      </c>
      <c r="J88" s="10" t="s">
        <v>775</v>
      </c>
      <c r="K88" s="10"/>
      <c r="L88" s="10" t="s">
        <v>119</v>
      </c>
      <c r="M88" s="10" t="s">
        <v>106</v>
      </c>
      <c r="N88" s="10"/>
      <c r="P88" s="11" t="s">
        <v>108</v>
      </c>
      <c r="Q88" s="12" t="n">
        <f aca="false">IF(P88="Yes",Scoring!$C$6,IF(P88="Partial",Scoring!$C$7,IF(P88="No",Scoring!$C$8,"")))</f>
        <v>1</v>
      </c>
      <c r="R88" s="13" t="n">
        <f aca="false">IF(Q88="",0,G88*Q88)</f>
        <v>2</v>
      </c>
      <c r="S88" s="13" t="n">
        <f aca="false">IF(Q88="",0,G88)</f>
        <v>2</v>
      </c>
      <c r="T88" s="13" t="str">
        <f aca="false">IF(OR(P88="Partial",P88="No"),I88,"")</f>
        <v/>
      </c>
      <c r="U88" s="14" t="n">
        <f aca="false">IF(Q88="",0,(1-Q88)*G88/SUMIFS($S$2:$S$97,$B$2:$B$97,B88)*INDEX(Scoring!$C$18:$C$27,MATCH(B88,Scoring!$B$18:$B$27,0)))</f>
        <v>0</v>
      </c>
      <c r="V88" s="14" t="n">
        <f aca="false">IF(U88&gt;0,U88+IF(AND(H88="Y",P88="No"),1000,0)+ROW()/100000,0)</f>
        <v>0</v>
      </c>
      <c r="W88" s="10" t="s">
        <v>397</v>
      </c>
      <c r="X88" s="15" t="s">
        <v>398</v>
      </c>
    </row>
    <row r="89" customFormat="false" ht="57.45" hidden="false" customHeight="false" outlineLevel="0" collapsed="false">
      <c r="A89" s="10" t="s">
        <v>776</v>
      </c>
      <c r="B89" s="10" t="s">
        <v>736</v>
      </c>
      <c r="C89" s="10" t="s">
        <v>777</v>
      </c>
      <c r="D89" s="10" t="s">
        <v>778</v>
      </c>
      <c r="E89" s="10" t="s">
        <v>99</v>
      </c>
      <c r="F89" s="10" t="s">
        <v>779</v>
      </c>
      <c r="G89" s="10" t="n">
        <v>3</v>
      </c>
      <c r="H89" s="10" t="s">
        <v>115</v>
      </c>
      <c r="I89" s="10" t="s">
        <v>780</v>
      </c>
      <c r="J89" s="10" t="s">
        <v>781</v>
      </c>
      <c r="K89" s="10"/>
      <c r="L89" s="10" t="s">
        <v>233</v>
      </c>
      <c r="M89" s="10" t="s">
        <v>106</v>
      </c>
      <c r="N89" s="10" t="s">
        <v>782</v>
      </c>
      <c r="P89" s="11" t="s">
        <v>129</v>
      </c>
      <c r="Q89" s="12" t="n">
        <f aca="false">IF(P89="Yes",Scoring!$C$6,IF(P89="Partial",Scoring!$C$7,IF(P89="No",Scoring!$C$8,"")))</f>
        <v>0.5</v>
      </c>
      <c r="R89" s="13" t="n">
        <f aca="false">IF(Q89="",0,G89*Q89)</f>
        <v>1.5</v>
      </c>
      <c r="S89" s="13" t="n">
        <f aca="false">IF(Q89="",0,G89)</f>
        <v>3</v>
      </c>
      <c r="T89" s="13" t="str">
        <f aca="false">IF(OR(P89="Partial",P89="No"),I89,"")</f>
        <v>Put in place and follow a content management approach with named owners, scheduled reviews, an approval workflow and accessible authoring, so content stays accurate, current and consistent.</v>
      </c>
      <c r="U89" s="14" t="n">
        <f aca="false">IF(Q89="",0,(1-Q89)*G89/SUMIFS($S$2:$S$97,$B$2:$B$97,B89)*INDEX(Scoring!$C$18:$C$27,MATCH(B89,Scoring!$B$18:$B$27,0)))</f>
        <v>0.46875</v>
      </c>
      <c r="V89" s="14" t="n">
        <f aca="false">IF(U89&gt;0,U89+IF(AND(H89="Y",P89="No"),1000,0)+ROW()/100000,0)</f>
        <v>0.46964</v>
      </c>
      <c r="W89" s="10" t="s">
        <v>366</v>
      </c>
      <c r="X89" s="15" t="s">
        <v>367</v>
      </c>
    </row>
    <row r="90" customFormat="false" ht="57.45" hidden="false" customHeight="false" outlineLevel="0" collapsed="false">
      <c r="A90" s="10" t="s">
        <v>783</v>
      </c>
      <c r="B90" s="10" t="s">
        <v>736</v>
      </c>
      <c r="C90" s="10" t="s">
        <v>784</v>
      </c>
      <c r="D90" s="10" t="s">
        <v>785</v>
      </c>
      <c r="E90" s="10" t="s">
        <v>99</v>
      </c>
      <c r="F90" s="10" t="s">
        <v>786</v>
      </c>
      <c r="G90" s="10" t="n">
        <v>3</v>
      </c>
      <c r="H90" s="10" t="s">
        <v>115</v>
      </c>
      <c r="I90" s="10" t="s">
        <v>787</v>
      </c>
      <c r="J90" s="10" t="s">
        <v>788</v>
      </c>
      <c r="K90" s="10"/>
      <c r="L90" s="10" t="s">
        <v>119</v>
      </c>
      <c r="M90" s="10" t="s">
        <v>106</v>
      </c>
      <c r="N90" s="10" t="s">
        <v>782</v>
      </c>
      <c r="P90" s="11" t="s">
        <v>108</v>
      </c>
      <c r="Q90" s="12" t="n">
        <f aca="false">IF(P90="Yes",Scoring!$C$6,IF(P90="Partial",Scoring!$C$7,IF(P90="No",Scoring!$C$8,"")))</f>
        <v>1</v>
      </c>
      <c r="R90" s="13" t="n">
        <f aca="false">IF(Q90="",0,G90*Q90)</f>
        <v>3</v>
      </c>
      <c r="S90" s="13" t="n">
        <f aca="false">IF(Q90="",0,G90)</f>
        <v>3</v>
      </c>
      <c r="T90" s="13" t="str">
        <f aca="false">IF(OR(P90="Partial",P90="No"),I90,"")</f>
        <v/>
      </c>
      <c r="U90" s="14" t="n">
        <f aca="false">IF(Q90="",0,(1-Q90)*G90/SUMIFS($S$2:$S$97,$B$2:$B$97,B90)*INDEX(Scoring!$C$18:$C$27,MATCH(B90,Scoring!$B$18:$B$27,0)))</f>
        <v>0</v>
      </c>
      <c r="V90" s="14" t="n">
        <f aca="false">IF(U90&gt;0,U90+IF(AND(H90="Y",P90="No"),1000,0)+ROW()/100000,0)</f>
        <v>0</v>
      </c>
      <c r="W90" s="10" t="s">
        <v>742</v>
      </c>
      <c r="X90" s="15" t="s">
        <v>743</v>
      </c>
    </row>
    <row r="91" customFormat="false" ht="23.85" hidden="false" customHeight="false" outlineLevel="0" collapsed="false">
      <c r="A91" s="10" t="s">
        <v>789</v>
      </c>
      <c r="B91" s="10" t="s">
        <v>790</v>
      </c>
      <c r="C91" s="10" t="s">
        <v>791</v>
      </c>
      <c r="D91" s="10" t="s">
        <v>792</v>
      </c>
      <c r="E91" s="10" t="s">
        <v>99</v>
      </c>
      <c r="F91" s="10" t="s">
        <v>793</v>
      </c>
      <c r="G91" s="10" t="n">
        <v>2</v>
      </c>
      <c r="H91" s="10" t="s">
        <v>115</v>
      </c>
      <c r="I91" s="10" t="s">
        <v>794</v>
      </c>
      <c r="J91" s="10" t="s">
        <v>795</v>
      </c>
      <c r="K91" s="10"/>
      <c r="L91" s="10" t="s">
        <v>233</v>
      </c>
      <c r="M91" s="10" t="s">
        <v>106</v>
      </c>
      <c r="N91" s="10"/>
      <c r="P91" s="11" t="s">
        <v>300</v>
      </c>
      <c r="Q91" s="12" t="n">
        <f aca="false">IF(P91="Yes",Scoring!$C$6,IF(P91="Partial",Scoring!$C$7,IF(P91="No",Scoring!$C$8,"")))</f>
        <v>0</v>
      </c>
      <c r="R91" s="13" t="n">
        <f aca="false">IF(Q91="",0,G91*Q91)</f>
        <v>0</v>
      </c>
      <c r="S91" s="13" t="n">
        <f aca="false">IF(Q91="",0,G91)</f>
        <v>2</v>
      </c>
      <c r="T91" s="13" t="str">
        <f aca="false">IF(OR(P91="Partial",P91="No"),I91,"")</f>
        <v>Define success measures linked to the service's purpose and track them in a dashboard the team reviews regularly.</v>
      </c>
      <c r="U91" s="14" t="n">
        <f aca="false">IF(Q91="",0,(1-Q91)*G91/SUMIFS($S$2:$S$97,$B$2:$B$97,B91)*INDEX(Scoring!$C$18:$C$27,MATCH(B91,Scoring!$B$18:$B$27,0)))</f>
        <v>0.714285714285714</v>
      </c>
      <c r="V91" s="14" t="n">
        <f aca="false">IF(U91&gt;0,U91+IF(AND(H91="Y",P91="No"),1000,0)+ROW()/100000,0)</f>
        <v>0.715195714285714</v>
      </c>
      <c r="W91" s="10" t="s">
        <v>796</v>
      </c>
      <c r="X91" s="15" t="s">
        <v>797</v>
      </c>
    </row>
    <row r="92" customFormat="false" ht="46.25" hidden="false" customHeight="false" outlineLevel="0" collapsed="false">
      <c r="A92" s="10" t="s">
        <v>798</v>
      </c>
      <c r="B92" s="10" t="s">
        <v>790</v>
      </c>
      <c r="C92" s="10" t="s">
        <v>799</v>
      </c>
      <c r="D92" s="10" t="s">
        <v>800</v>
      </c>
      <c r="E92" s="10" t="s">
        <v>99</v>
      </c>
      <c r="F92" s="10" t="s">
        <v>801</v>
      </c>
      <c r="G92" s="10" t="n">
        <v>1</v>
      </c>
      <c r="H92" s="10" t="s">
        <v>115</v>
      </c>
      <c r="I92" s="10" t="s">
        <v>802</v>
      </c>
      <c r="J92" s="10" t="s">
        <v>803</v>
      </c>
      <c r="K92" s="10" t="s">
        <v>474</v>
      </c>
      <c r="L92" s="10" t="s">
        <v>119</v>
      </c>
      <c r="M92" s="10" t="s">
        <v>106</v>
      </c>
      <c r="N92" s="10" t="s">
        <v>459</v>
      </c>
      <c r="P92" s="11" t="s">
        <v>108</v>
      </c>
      <c r="Q92" s="12" t="n">
        <f aca="false">IF(P92="Yes",Scoring!$C$6,IF(P92="Partial",Scoring!$C$7,IF(P92="No",Scoring!$C$8,"")))</f>
        <v>1</v>
      </c>
      <c r="R92" s="13" t="n">
        <f aca="false">IF(Q92="",0,G92*Q92)</f>
        <v>1</v>
      </c>
      <c r="S92" s="13" t="n">
        <f aca="false">IF(Q92="",0,G92)</f>
        <v>1</v>
      </c>
      <c r="T92" s="13" t="str">
        <f aca="false">IF(OR(P92="Partial",P92="No"),I92,"")</f>
        <v/>
      </c>
      <c r="U92" s="14" t="n">
        <f aca="false">IF(Q92="",0,(1-Q92)*G92/SUMIFS($S$2:$S$97,$B$2:$B$97,B92)*INDEX(Scoring!$C$18:$C$27,MATCH(B92,Scoring!$B$18:$B$27,0)))</f>
        <v>0</v>
      </c>
      <c r="V92" s="14" t="n">
        <f aca="false">IF(U92&gt;0,U92+IF(AND(H92="Y",P92="No"),1000,0)+ROW()/100000,0)</f>
        <v>0</v>
      </c>
      <c r="W92" s="10" t="s">
        <v>333</v>
      </c>
      <c r="X92" s="15" t="s">
        <v>334</v>
      </c>
    </row>
    <row r="93" customFormat="false" ht="23.85" hidden="false" customHeight="false" outlineLevel="0" collapsed="false">
      <c r="A93" s="10" t="s">
        <v>804</v>
      </c>
      <c r="B93" s="10" t="s">
        <v>790</v>
      </c>
      <c r="C93" s="10" t="s">
        <v>805</v>
      </c>
      <c r="D93" s="10" t="s">
        <v>806</v>
      </c>
      <c r="E93" s="10" t="s">
        <v>99</v>
      </c>
      <c r="F93" s="10" t="s">
        <v>807</v>
      </c>
      <c r="G93" s="10" t="n">
        <v>2</v>
      </c>
      <c r="H93" s="10" t="s">
        <v>115</v>
      </c>
      <c r="I93" s="10" t="s">
        <v>808</v>
      </c>
      <c r="J93" s="10" t="s">
        <v>809</v>
      </c>
      <c r="K93" s="10"/>
      <c r="L93" s="10" t="s">
        <v>233</v>
      </c>
      <c r="M93" s="10" t="s">
        <v>106</v>
      </c>
      <c r="N93" s="10"/>
      <c r="P93" s="11" t="s">
        <v>108</v>
      </c>
      <c r="Q93" s="12" t="n">
        <f aca="false">IF(P93="Yes",Scoring!$C$6,IF(P93="Partial",Scoring!$C$7,IF(P93="No",Scoring!$C$8,"")))</f>
        <v>1</v>
      </c>
      <c r="R93" s="13" t="n">
        <f aca="false">IF(Q93="",0,G93*Q93)</f>
        <v>2</v>
      </c>
      <c r="S93" s="13" t="n">
        <f aca="false">IF(Q93="",0,G93)</f>
        <v>2</v>
      </c>
      <c r="T93" s="13" t="str">
        <f aca="false">IF(OR(P93="Partial",P93="No"),I93,"")</f>
        <v/>
      </c>
      <c r="U93" s="14" t="n">
        <f aca="false">IF(Q93="",0,(1-Q93)*G93/SUMIFS($S$2:$S$97,$B$2:$B$97,B93)*INDEX(Scoring!$C$18:$C$27,MATCH(B93,Scoring!$B$18:$B$27,0)))</f>
        <v>0</v>
      </c>
      <c r="V93" s="14" t="n">
        <f aca="false">IF(U93&gt;0,U93+IF(AND(H93="Y",P93="No"),1000,0)+ROW()/100000,0)</f>
        <v>0</v>
      </c>
      <c r="W93" s="10" t="s">
        <v>810</v>
      </c>
      <c r="X93" s="15" t="s">
        <v>811</v>
      </c>
    </row>
    <row r="94" customFormat="false" ht="23.85" hidden="false" customHeight="false" outlineLevel="0" collapsed="false">
      <c r="A94" s="10" t="s">
        <v>812</v>
      </c>
      <c r="B94" s="10" t="s">
        <v>790</v>
      </c>
      <c r="C94" s="10" t="s">
        <v>813</v>
      </c>
      <c r="D94" s="10" t="s">
        <v>814</v>
      </c>
      <c r="E94" s="10" t="s">
        <v>99</v>
      </c>
      <c r="F94" s="10" t="s">
        <v>815</v>
      </c>
      <c r="G94" s="10" t="n">
        <v>2</v>
      </c>
      <c r="H94" s="10" t="s">
        <v>115</v>
      </c>
      <c r="I94" s="10" t="s">
        <v>816</v>
      </c>
      <c r="J94" s="10" t="s">
        <v>817</v>
      </c>
      <c r="K94" s="10"/>
      <c r="L94" s="10" t="s">
        <v>233</v>
      </c>
      <c r="M94" s="10" t="s">
        <v>106</v>
      </c>
      <c r="N94" s="10"/>
      <c r="P94" s="11" t="s">
        <v>108</v>
      </c>
      <c r="Q94" s="12" t="n">
        <f aca="false">IF(P94="Yes",Scoring!$C$6,IF(P94="Partial",Scoring!$C$7,IF(P94="No",Scoring!$C$8,"")))</f>
        <v>1</v>
      </c>
      <c r="R94" s="13" t="n">
        <f aca="false">IF(Q94="",0,G94*Q94)</f>
        <v>2</v>
      </c>
      <c r="S94" s="13" t="n">
        <f aca="false">IF(Q94="",0,G94)</f>
        <v>2</v>
      </c>
      <c r="T94" s="13" t="str">
        <f aca="false">IF(OR(P94="Partial",P94="No"),I94,"")</f>
        <v/>
      </c>
      <c r="U94" s="14" t="n">
        <f aca="false">IF(Q94="",0,(1-Q94)*G94/SUMIFS($S$2:$S$97,$B$2:$B$97,B94)*INDEX(Scoring!$C$18:$C$27,MATCH(B94,Scoring!$B$18:$B$27,0)))</f>
        <v>0</v>
      </c>
      <c r="V94" s="14" t="n">
        <f aca="false">IF(U94&gt;0,U94+IF(AND(H94="Y",P94="No"),1000,0)+ROW()/100000,0)</f>
        <v>0</v>
      </c>
      <c r="W94" s="10" t="s">
        <v>818</v>
      </c>
      <c r="X94" s="15" t="s">
        <v>819</v>
      </c>
    </row>
    <row r="95" customFormat="false" ht="23.85" hidden="false" customHeight="false" outlineLevel="0" collapsed="false">
      <c r="A95" s="10" t="s">
        <v>820</v>
      </c>
      <c r="B95" s="10" t="s">
        <v>790</v>
      </c>
      <c r="C95" s="10" t="s">
        <v>821</v>
      </c>
      <c r="D95" s="10" t="s">
        <v>822</v>
      </c>
      <c r="E95" s="10" t="s">
        <v>99</v>
      </c>
      <c r="F95" s="10" t="s">
        <v>823</v>
      </c>
      <c r="G95" s="10" t="n">
        <v>1</v>
      </c>
      <c r="H95" s="10" t="s">
        <v>115</v>
      </c>
      <c r="I95" s="10" t="s">
        <v>824</v>
      </c>
      <c r="J95" s="10" t="s">
        <v>233</v>
      </c>
      <c r="K95" s="10"/>
      <c r="L95" s="10" t="s">
        <v>233</v>
      </c>
      <c r="M95" s="10" t="s">
        <v>106</v>
      </c>
      <c r="N95" s="10"/>
      <c r="P95" s="11" t="s">
        <v>129</v>
      </c>
      <c r="Q95" s="12" t="n">
        <f aca="false">IF(P95="Yes",Scoring!$C$6,IF(P95="Partial",Scoring!$C$7,IF(P95="No",Scoring!$C$8,"")))</f>
        <v>0.5</v>
      </c>
      <c r="R95" s="13" t="n">
        <f aca="false">IF(Q95="",0,G95*Q95)</f>
        <v>0.5</v>
      </c>
      <c r="S95" s="13" t="n">
        <f aca="false">IF(Q95="",0,G95)</f>
        <v>1</v>
      </c>
      <c r="T95" s="13" t="str">
        <f aca="false">IF(OR(P95="Partial",P95="No"),I95,"")</f>
        <v>Repeat the UX health check at least annually and after major change, and track progress on previous recommendations.</v>
      </c>
      <c r="U95" s="14" t="n">
        <f aca="false">IF(Q95="",0,(1-Q95)*G95/SUMIFS($S$2:$S$97,$B$2:$B$97,B95)*INDEX(Scoring!$C$18:$C$27,MATCH(B95,Scoring!$B$18:$B$27,0)))</f>
        <v>0.178571428571429</v>
      </c>
      <c r="V95" s="14" t="n">
        <f aca="false">IF(U95&gt;0,U95+IF(AND(H95="Y",P95="No"),1000,0)+ROW()/100000,0)</f>
        <v>0.179521428571429</v>
      </c>
      <c r="W95" s="10" t="s">
        <v>639</v>
      </c>
      <c r="X95" s="10"/>
    </row>
    <row r="96" customFormat="false" ht="57.45" hidden="false" customHeight="false" outlineLevel="0" collapsed="false">
      <c r="A96" s="10" t="s">
        <v>825</v>
      </c>
      <c r="B96" s="10" t="s">
        <v>790</v>
      </c>
      <c r="C96" s="10" t="s">
        <v>826</v>
      </c>
      <c r="D96" s="10" t="s">
        <v>827</v>
      </c>
      <c r="E96" s="10" t="s">
        <v>99</v>
      </c>
      <c r="F96" s="10" t="s">
        <v>828</v>
      </c>
      <c r="G96" s="10" t="n">
        <v>3</v>
      </c>
      <c r="H96" s="10" t="s">
        <v>115</v>
      </c>
      <c r="I96" s="10" t="s">
        <v>829</v>
      </c>
      <c r="J96" s="10" t="s">
        <v>830</v>
      </c>
      <c r="K96" s="10" t="s">
        <v>543</v>
      </c>
      <c r="L96" s="10" t="s">
        <v>233</v>
      </c>
      <c r="M96" s="10" t="s">
        <v>106</v>
      </c>
      <c r="N96" s="10" t="s">
        <v>782</v>
      </c>
      <c r="P96" s="11" t="s">
        <v>108</v>
      </c>
      <c r="Q96" s="12" t="n">
        <f aca="false">IF(P96="Yes",Scoring!$C$6,IF(P96="Partial",Scoring!$C$7,IF(P96="No",Scoring!$C$8,"")))</f>
        <v>1</v>
      </c>
      <c r="R96" s="13" t="n">
        <f aca="false">IF(Q96="",0,G96*Q96)</f>
        <v>3</v>
      </c>
      <c r="S96" s="13" t="n">
        <f aca="false">IF(Q96="",0,G96)</f>
        <v>3</v>
      </c>
      <c r="T96" s="13" t="str">
        <f aca="false">IF(OR(P96="Partial",P96="No"),I96,"")</f>
        <v/>
      </c>
      <c r="U96" s="14" t="n">
        <f aca="false">IF(Q96="",0,(1-Q96)*G96/SUMIFS($S$2:$S$97,$B$2:$B$97,B96)*INDEX(Scoring!$C$18:$C$27,MATCH(B96,Scoring!$B$18:$B$27,0)))</f>
        <v>0</v>
      </c>
      <c r="V96" s="14" t="n">
        <f aca="false">IF(U96&gt;0,U96+IF(AND(H96="Y",P96="No"),1000,0)+ROW()/100000,0)</f>
        <v>0</v>
      </c>
      <c r="W96" s="10" t="s">
        <v>607</v>
      </c>
      <c r="X96" s="15" t="s">
        <v>608</v>
      </c>
    </row>
    <row r="97" customFormat="false" ht="57.45" hidden="false" customHeight="false" outlineLevel="0" collapsed="false">
      <c r="A97" s="10" t="s">
        <v>831</v>
      </c>
      <c r="B97" s="10" t="s">
        <v>790</v>
      </c>
      <c r="C97" s="10" t="s">
        <v>832</v>
      </c>
      <c r="D97" s="10" t="s">
        <v>833</v>
      </c>
      <c r="E97" s="10" t="s">
        <v>99</v>
      </c>
      <c r="F97" s="10" t="s">
        <v>834</v>
      </c>
      <c r="G97" s="10" t="n">
        <v>3</v>
      </c>
      <c r="H97" s="10" t="s">
        <v>115</v>
      </c>
      <c r="I97" s="10" t="s">
        <v>835</v>
      </c>
      <c r="J97" s="10" t="s">
        <v>836</v>
      </c>
      <c r="K97" s="10"/>
      <c r="L97" s="10" t="s">
        <v>233</v>
      </c>
      <c r="M97" s="10" t="s">
        <v>106</v>
      </c>
      <c r="N97" s="10" t="s">
        <v>782</v>
      </c>
      <c r="P97" s="11" t="s">
        <v>300</v>
      </c>
      <c r="Q97" s="12" t="n">
        <f aca="false">IF(P97="Yes",Scoring!$C$6,IF(P97="Partial",Scoring!$C$7,IF(P97="No",Scoring!$C$8,"")))</f>
        <v>0</v>
      </c>
      <c r="R97" s="13" t="n">
        <f aca="false">IF(Q97="",0,G97*Q97)</f>
        <v>0</v>
      </c>
      <c r="S97" s="13" t="n">
        <f aca="false">IF(Q97="",0,G97)</f>
        <v>3</v>
      </c>
      <c r="T97" s="13" t="str">
        <f aca="false">IF(OR(P97="Partial",P97="No"),I97,"")</f>
        <v>Run a regular improvement cycle that turns insights from research, analytics, feedback, incidents and health checks into prioritised changes, releases them, and measures their impact.</v>
      </c>
      <c r="U97" s="14" t="n">
        <f aca="false">IF(Q97="",0,(1-Q97)*G97/SUMIFS($S$2:$S$97,$B$2:$B$97,B97)*INDEX(Scoring!$C$18:$C$27,MATCH(B97,Scoring!$B$18:$B$27,0)))</f>
        <v>1.07142857142857</v>
      </c>
      <c r="V97" s="14" t="n">
        <f aca="false">IF(U97&gt;0,U97+IF(AND(H97="Y",P97="No"),1000,0)+ROW()/100000,0)</f>
        <v>1.07239857142857</v>
      </c>
      <c r="W97" s="10" t="s">
        <v>818</v>
      </c>
      <c r="X97" s="15" t="s">
        <v>819</v>
      </c>
    </row>
  </sheetData>
  <autoFilter ref="A1:N97"/>
  <conditionalFormatting sqref="P2:P97">
    <cfRule type="cellIs" priority="2" operator="equal" aboveAverage="0" equalAverage="0" bottom="0" percent="0" rank="0" text="" dxfId="4">
      <formula>"No"</formula>
    </cfRule>
    <cfRule type="cellIs" priority="3" operator="equal" aboveAverage="0" equalAverage="0" bottom="0" percent="0" rank="0" text="" dxfId="5">
      <formula>"Partial"</formula>
    </cfRule>
    <cfRule type="cellIs" priority="4" operator="equal" aboveAverage="0" equalAverage="0" bottom="0" percent="0" rank="0" text="" dxfId="6">
      <formula>"Yes"</formula>
    </cfRule>
  </conditionalFormatting>
  <conditionalFormatting sqref="H2:H97">
    <cfRule type="cellIs" priority="5" operator="equal" aboveAverage="0" equalAverage="0" bottom="0" percent="0" rank="0" text="" dxfId="7">
      <formula>"Y"</formula>
    </cfRule>
  </conditionalFormatting>
  <dataValidations count="5">
    <dataValidation allowBlank="true" errorStyle="stop" operator="between" showDropDown="false" showErrorMessage="false" showInputMessage="false" sqref="P2:P97" type="list">
      <formula1>"Yes,Partial,No,N/A"</formula1>
      <formula2>0</formula2>
    </dataValidation>
    <dataValidation allowBlank="true" errorStyle="stop" operator="between" showDropDown="false" showErrorMessage="false" showInputMessage="false" sqref="H2:H97" type="list">
      <formula1>"Y,N"</formula1>
      <formula2>0</formula2>
    </dataValidation>
    <dataValidation allowBlank="true" errorStyle="stop" operator="between" showDropDown="false" showErrorMessage="false" showInputMessage="false" sqref="L2:L97" type="list">
      <formula1>"Mandatory (NZ),Recommended (NZ),Good practice"</formula1>
      <formula2>0</formula2>
    </dataValidation>
    <dataValidation allowBlank="true" errorStyle="stop" operator="between" showDropDown="false" showErrorMessage="false" showInputMessage="false" sqref="M2:M97" type="list">
      <formula1>"All,Public-facing,Transactional,Authenticated,Uses media,Uses CMS,Uses AI"</formula1>
      <formula2>0</formula2>
    </dataValidation>
    <dataValidation allowBlank="false" errorStyle="stop" operator="between" showDropDown="false" showErrorMessage="false" showInputMessage="false" sqref="G2:G97" type="whole">
      <formula1>1</formula1>
      <formula2>3</formula2>
    </dataValidation>
  </dataValidations>
  <hyperlinks>
    <hyperlink ref="X2" r:id="rId1" display="https://www.digital.govt.nz/standards-and-guidance/nz-government-web-standards/web-accessibility-standard-1-2"/>
    <hyperlink ref="X3" r:id="rId2" display="https://www.w3.org/WAI/test-evaluate/conformance/wcag-em/"/>
    <hyperlink ref="X4" r:id="rId3" display="https://www.w3.org/WAI/WCAG22/quickref/"/>
    <hyperlink ref="X5" r:id="rId4" display="https://www.w3.org/WAI/WCAG22/quickref/"/>
    <hyperlink ref="X6" r:id="rId5" display="https://www.w3.org/WAI/WCAG22/quickref/"/>
    <hyperlink ref="X7" r:id="rId6" display="https://www.w3.org/WAI/WCAG22/quickref/"/>
    <hyperlink ref="X8" r:id="rId7" display="https://www.w3.org/WAI/WCAG22/quickref/"/>
    <hyperlink ref="X9" r:id="rId8" display="https://www.w3.org/WAI/WCAG22/quickref/"/>
    <hyperlink ref="X10" r:id="rId9" display="https://www.w3.org/WAI/WCAG22/quickref/"/>
    <hyperlink ref="X11" r:id="rId10" display="https://www.w3.org/WAI/WCAG22/quickref/"/>
    <hyperlink ref="X12" r:id="rId11" display="https://www.w3.org/WAI/WCAG22/quickref/"/>
    <hyperlink ref="X13" r:id="rId12" display="https://www.w3.org/WAI/WCAG22/quickref/"/>
    <hyperlink ref="X14" r:id="rId13" display="https://www.digital.govt.nz/standards-and-guidance/nz-government-web-standards/digital-accessibility-standard"/>
    <hyperlink ref="X15" r:id="rId14" display="https://github.com/GOVTNZ/cwac"/>
    <hyperlink ref="X16" r:id="rId15" display="https://www.digital.govt.nz/standards-and-guidance/nz-government-web-standards/web-accessibility-standard-1-2"/>
    <hyperlink ref="X17" r:id="rId16" display="https://www.gov.uk/service-manual/design/making-your-service-more-inclusive"/>
    <hyperlink ref="X18" r:id="rId17" display="https://www.w3.org/TR/maturity-model/"/>
    <hyperlink ref="X19" r:id="rId18" display="https://www.gov.uk/service-manual/technology/working-with-mobile-technology"/>
    <hyperlink ref="X20" r:id="rId19" display="https://www.gov.uk/service-manual/service-standard/point-1-understand-user-needs"/>
    <hyperlink ref="X21" r:id="rId20" display="https://www.gov.uk/service-manual/service-standard/point-4-make-the-service-simple-to-use"/>
    <hyperlink ref="X22" r:id="rId21" display="https://www.nngroup.com/articles/how-to-conduct-a-heuristic-evaluation/"/>
    <hyperlink ref="X23" r:id="rId22" display="https://www.nngroup.com/articles/ten-usability-heuristics/"/>
    <hyperlink ref="X24" r:id="rId23" display="https://www.nngroup.com/articles/ten-usability-heuristics/"/>
    <hyperlink ref="X25" r:id="rId24" display="https://www.nngroup.com/articles/ten-usability-heuristics/"/>
    <hyperlink ref="X26" r:id="rId25" display="https://www.gov.uk/service-manual/service-standard/point-13-use-common-standards-components-patterns"/>
    <hyperlink ref="X27" r:id="rId26" display="https://www.gov.uk/service-manual/service-standard/point-2-solve-a-whole-problem"/>
    <hyperlink ref="X28" r:id="rId27" display="https://web.dev/articles/vitals"/>
    <hyperlink ref="X29" r:id="rId28" display="https://www.gov.uk/service-manual/technology/designing-for-different-browsers-and-devices"/>
    <hyperlink ref="X30" r:id="rId29" display="https://www.legislation.govt.nz/act/public/2020/31/en/latest/"/>
    <hyperlink ref="X31" r:id="rId30" display="https://www.legislation.govt.nz/act/public/2022/0054/latest/whole.html"/>
    <hyperlink ref="X34" r:id="rId31" display="https://www.whitehouse.gov/wp-content/uploads/2023/09/M-23-22-Delivering-a-Digital-First-Public-Experience.pdf"/>
    <hyperlink ref="X35" r:id="rId32" display="https://www.w3.org/WAI/WCAG22/quickref/"/>
    <hyperlink ref="X36" r:id="rId33" display="https://www.legislation.govt.nz/act/public/2016/0017/latest/DLM6174566.html"/>
    <hyperlink ref="X37" r:id="rId34" display="https://www.msd.govt.nz/about-msd-and-our-work/work-programmes/accessibility/accessibility-charter/the-charter.html"/>
    <hyperlink ref="X38" r:id="rId35" display="https://www.digital.govt.nz/standards-and-guidance/digital-service-design-standard/principles"/>
    <hyperlink ref="X40" r:id="rId36" display="https://www.digital.govt.nz/standards-and-guidance/design-and-ux/usability/nz-government-logo-markup"/>
    <hyperlink ref="X41" r:id="rId37" display="https://www.w3.org/WAI/WCAG22/quickref/"/>
    <hyperlink ref="X42" r:id="rId38" display="https://www.nngroup.com/articles/ten-usability-heuristics/"/>
    <hyperlink ref="X43" r:id="rId39" display="https://www.digital.govt.nz/standards-and-guidance/technology-and-architecture/domain-names"/>
    <hyperlink ref="X44" r:id="rId40" display="https://www.digital.govt.nz/standards-and-guidance/technology-and-architecture/domain-names"/>
    <hyperlink ref="X45" r:id="rId41" display="https://www.ncsc.govt.nz/nzism/"/>
    <hyperlink ref="X46" r:id="rId42" display="https://owasp.org/projects/asvs"/>
    <hyperlink ref="X47" r:id="rId43" display="https://www.ncsc.govt.nz/nzism/"/>
    <hyperlink ref="X48" r:id="rId44" display="https://developer.mozilla.org/en-US/observatory"/>
    <hyperlink ref="X49" r:id="rId45" display="https://www.digital.govt.nz/standards-and-guidance/identity/identification-management/identification-standards"/>
    <hyperlink ref="X50" r:id="rId46" display="https://www.privacy.org.nz/responsibilities/privacy-impact-assessments/"/>
    <hyperlink ref="X51" r:id="rId47" display="https://www.digital.govt.nz/standards-and-guidance/nz-government-web-standards/web-usability-standard-1-4"/>
    <hyperlink ref="X52" r:id="rId48" display="https://www.legislation.govt.nz/act/public/2020/31/en/latest/"/>
    <hyperlink ref="X53" r:id="rId49" display="https://owasp.org/projects/asvs"/>
    <hyperlink ref="X54" r:id="rId50" display="https://owasp.org/projects/asvs"/>
    <hyperlink ref="X55" r:id="rId51" display="https://www.digital.govt.nz/standards-and-guidance/technology-and-architecture/cloud-services/assess-the-risks"/>
    <hyperlink ref="X56" r:id="rId52" display="https://www.digital.gov.au/policy/digital-experience/digital-performance-standard/dps-criterion-2-measure-availability-your-digital-service"/>
    <hyperlink ref="X57" r:id="rId53" display="https://www.digital.gov.au/policy/digital-experience/digital-performance-standard/dps-criterion-1-implement-monitoring-framework"/>
    <hyperlink ref="X58" r:id="rId54" display="https://sre.google/books/"/>
    <hyperlink ref="X59" r:id="rId55" display="https://www.gov.uk/service-manual/service-standard/point-14-operate-a-reliable-service"/>
    <hyperlink ref="X60" r:id="rId56" display="https://www.gov.uk/service-manual/service-standard/point-14-operate-a-reliable-service"/>
    <hyperlink ref="X61" r:id="rId57" display="https://www.procurement.govt.nz/government-procurement-framework/"/>
    <hyperlink ref="X62" r:id="rId58" display="https://sre.google/books/"/>
    <hyperlink ref="X63" r:id="rId59" display="https://www.ncsc.govt.nz/nzism/"/>
    <hyperlink ref="X64" r:id="rId60" display="https://sre.google/books/"/>
    <hyperlink ref="X65" r:id="rId61" display="https://dora.dev/guides/dora-metrics/"/>
    <hyperlink ref="X66" r:id="rId62" display="https://www.digital.gov.au/policy/digital-experience/digital-performance-standard"/>
    <hyperlink ref="X67" r:id="rId63" display="https://www.digital.govt.nz/standards-and-guidance/nz-government-web-standards/web-usability-standard-1-4"/>
    <hyperlink ref="X68" r:id="rId64" display="https://www.nngroup.com/articles/help-and-documentation/"/>
    <hyperlink ref="X69" r:id="rId65" display="https://www.digital.govt.nz/standards-and-guidance/nz-government-web-standards/digital-accessibility-standard"/>
    <hyperlink ref="X71" r:id="rId66" display="https://www.digital.gov.au/policy/digital-experience/digital-performance-standard"/>
    <hyperlink ref="X72" r:id="rId67" display="https://www.gov.uk/service-manual/service-standard/point-3-join-up-across-channels"/>
    <hyperlink ref="X73" r:id="rId68" display="https://www.ombudsman.parliament.nz/resources/effective-complaint-handling"/>
    <hyperlink ref="X74" r:id="rId69" display="https://www.data.govt.nz/manage-data/policies/nzgoal"/>
    <hyperlink ref="X75" r:id="rId70" display="https://archives.govt.nz/manage-information/how-to-manage-your-information/key-obligations-and-the-standard/information-and-records-management-standard"/>
    <hyperlink ref="X76" r:id="rId71" display="https://www.legislation.govt.nz/act/public/1982/156/en/latest/"/>
    <hyperlink ref="X77" r:id="rId72" display="https://www.legislation.govt.nz/act/public/1993/82/en/latest/"/>
    <hyperlink ref="X80" r:id="rId73" display="https://data.govt.nz/algorithm-charter/"/>
    <hyperlink ref="X81" r:id="rId74" display="https://www.legislation.govt.nz/act/public/2020/0040/latest/LMS356875.html"/>
    <hyperlink ref="X82" r:id="rId75" display="https://www.buddlefindlay.com/insights/resource-management-reform-an-overview-of-the-planning-act-and-natural-environment-act/"/>
    <hyperlink ref="X83" r:id="rId76" display="https://www.gov.uk/service-manual/service-standard/point-6-have-a-multidisciplinary-team"/>
    <hyperlink ref="X84" r:id="rId77" display="https://www.whitehouse.gov/wp-content/uploads/2023/09/M-23-22-Delivering-a-Digital-First-Public-Experience.pdf"/>
    <hyperlink ref="X85" r:id="rId78" display="https://www.w3.org/WAI/standards-guidelines/atag/"/>
    <hyperlink ref="X86" r:id="rId79" display="https://www.w3.org/WAI/standards-guidelines/atag/"/>
    <hyperlink ref="X88" r:id="rId80" display="https://www.digital.govt.nz/standards-and-guidance/digital-service-design-standard/principles"/>
    <hyperlink ref="X89" r:id="rId81" display="https://www.whitehouse.gov/wp-content/uploads/2023/09/M-23-22-Delivering-a-Digital-First-Public-Experience.pdf"/>
    <hyperlink ref="X90" r:id="rId82" display="https://www.gov.uk/service-manual/service-standard/point-6-have-a-multidisciplinary-team"/>
    <hyperlink ref="X91" r:id="rId83" display="https://www.gov.uk/service-manual/service-standard/point-10-define-success-publish-performance-data"/>
    <hyperlink ref="X92" r:id="rId84" display="https://www.legislation.govt.nz/act/public/2020/31/en/latest/"/>
    <hyperlink ref="X93" r:id="rId85" display="https://verdi.cs.ucl.ac.uk/constructDB/publications/brooke-susa-1996.html"/>
    <hyperlink ref="X94" r:id="rId86" display="https://www.gov.uk/service-manual/service-standard"/>
    <hyperlink ref="X96" r:id="rId87" display="https://www.digital.gov.au/policy/digital-experience/digital-performance-standard"/>
    <hyperlink ref="X97" r:id="rId88" display="https://www.gov.uk/service-manual/service-stand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12"/>
    <col collapsed="false" customWidth="true" hidden="false" outlineLevel="0" max="6" min="5" style="0" width="14"/>
    <col collapsed="false" customWidth="true" hidden="false" outlineLevel="0" max="8" min="7" style="0" width="12"/>
    <col collapsed="false" customWidth="true" hidden="false" outlineLevel="0" max="9" min="9" style="0" width="60"/>
  </cols>
  <sheetData>
    <row r="1" customFormat="false" ht="19.7" hidden="false" customHeight="false" outlineLevel="0" collapsed="false">
      <c r="B1" s="1" t="s">
        <v>837</v>
      </c>
    </row>
    <row r="2" customFormat="false" ht="15" hidden="false" customHeight="false" outlineLevel="0" collapsed="false">
      <c r="B2" s="2" t="s">
        <v>838</v>
      </c>
    </row>
    <row r="4" customFormat="false" ht="15" hidden="false" customHeight="false" outlineLevel="0" collapsed="false">
      <c r="B4" s="3" t="s">
        <v>839</v>
      </c>
    </row>
    <row r="5" customFormat="false" ht="15" hidden="false" customHeight="false" outlineLevel="0" collapsed="false">
      <c r="B5" s="16" t="s">
        <v>840</v>
      </c>
      <c r="C5" s="16" t="s">
        <v>841</v>
      </c>
    </row>
    <row r="6" customFormat="false" ht="15" hidden="false" customHeight="false" outlineLevel="0" collapsed="false">
      <c r="B6" s="7" t="s">
        <v>108</v>
      </c>
      <c r="C6" s="17" t="n">
        <v>1</v>
      </c>
    </row>
    <row r="7" customFormat="false" ht="15" hidden="false" customHeight="false" outlineLevel="0" collapsed="false">
      <c r="B7" s="7" t="s">
        <v>129</v>
      </c>
      <c r="C7" s="17" t="n">
        <v>0.5</v>
      </c>
    </row>
    <row r="8" customFormat="false" ht="15" hidden="false" customHeight="false" outlineLevel="0" collapsed="false">
      <c r="B8" s="7" t="s">
        <v>300</v>
      </c>
      <c r="C8" s="17" t="n">
        <v>0</v>
      </c>
    </row>
    <row r="10" customFormat="false" ht="15" hidden="false" customHeight="false" outlineLevel="0" collapsed="false">
      <c r="B10" s="7" t="s">
        <v>842</v>
      </c>
      <c r="C10" s="17" t="n">
        <v>60</v>
      </c>
      <c r="E10" s="18" t="s">
        <v>843</v>
      </c>
    </row>
    <row r="11" customFormat="false" ht="15" hidden="false" customHeight="false" outlineLevel="0" collapsed="false">
      <c r="B11" s="7" t="s">
        <v>844</v>
      </c>
      <c r="C11" s="17" t="n">
        <v>85</v>
      </c>
    </row>
    <row r="12" customFormat="false" ht="15" hidden="false" customHeight="false" outlineLevel="0" collapsed="false">
      <c r="B12" s="7" t="s">
        <v>845</v>
      </c>
      <c r="C12" s="17" t="n">
        <v>70</v>
      </c>
    </row>
    <row r="13" customFormat="false" ht="15" hidden="false" customHeight="false" outlineLevel="0" collapsed="false">
      <c r="B13" s="7" t="s">
        <v>846</v>
      </c>
      <c r="C13" s="17" t="n">
        <v>50</v>
      </c>
    </row>
    <row r="16" customFormat="false" ht="15" hidden="false" customHeight="false" outlineLevel="0" collapsed="false">
      <c r="B16" s="3" t="s">
        <v>847</v>
      </c>
    </row>
    <row r="17" customFormat="false" ht="15" hidden="false" customHeight="false" outlineLevel="0" collapsed="false">
      <c r="B17" s="9" t="s">
        <v>82</v>
      </c>
      <c r="C17" s="9" t="s">
        <v>848</v>
      </c>
      <c r="D17" s="9" t="s">
        <v>10</v>
      </c>
      <c r="E17" s="9" t="s">
        <v>849</v>
      </c>
      <c r="F17" s="9" t="s">
        <v>850</v>
      </c>
      <c r="G17" s="9" t="s">
        <v>851</v>
      </c>
      <c r="H17" s="9" t="s">
        <v>852</v>
      </c>
      <c r="I17" s="9" t="s">
        <v>853</v>
      </c>
    </row>
    <row r="18" customFormat="false" ht="30" hidden="false" customHeight="true" outlineLevel="0" collapsed="false">
      <c r="B18" s="10" t="s">
        <v>96</v>
      </c>
      <c r="C18" s="19" t="n">
        <v>20</v>
      </c>
      <c r="D18" s="13" t="n">
        <f aca="false">COUNTIF(Criteria!$B$2:$B$97,B18)</f>
        <v>17</v>
      </c>
      <c r="E18" s="12" t="n">
        <f aca="false">SUMIFS(Criteria!$R$2:$R$97,Criteria!$B$2:$B$97,B18)</f>
        <v>27</v>
      </c>
      <c r="F18" s="13" t="n">
        <f aca="false">SUMIFS(Criteria!$S$2:$S$97,Criteria!$B$2:$B$97,B18)</f>
        <v>33</v>
      </c>
      <c r="G18" s="20" t="n">
        <f aca="false">IF(F18=0,"",E18/F18)</f>
        <v>0.818181818181818</v>
      </c>
      <c r="H18" s="12" t="n">
        <f aca="false">IF(F18=0,"",G18*C18)</f>
        <v>16.3636363636364</v>
      </c>
      <c r="I18" s="10" t="s">
        <v>854</v>
      </c>
    </row>
    <row r="19" customFormat="false" ht="30" hidden="false" customHeight="true" outlineLevel="0" collapsed="false">
      <c r="B19" s="10" t="s">
        <v>236</v>
      </c>
      <c r="C19" s="19" t="n">
        <v>15</v>
      </c>
      <c r="D19" s="13" t="n">
        <f aca="false">COUNTIF(Criteria!$B$2:$B$97,B19)</f>
        <v>12</v>
      </c>
      <c r="E19" s="12" t="n">
        <f aca="false">SUMIFS(Criteria!$R$2:$R$97,Criteria!$B$2:$B$97,B19)</f>
        <v>17</v>
      </c>
      <c r="F19" s="13" t="n">
        <f aca="false">SUMIFS(Criteria!$S$2:$S$97,Criteria!$B$2:$B$97,B19)</f>
        <v>23</v>
      </c>
      <c r="G19" s="20" t="n">
        <f aca="false">IF(F19=0,"",E19/F19)</f>
        <v>0.739130434782609</v>
      </c>
      <c r="H19" s="12" t="n">
        <f aca="false">IF(F19=0,"",G19*C19)</f>
        <v>11.0869565217391</v>
      </c>
      <c r="I19" s="10" t="s">
        <v>855</v>
      </c>
    </row>
    <row r="20" customFormat="false" ht="30" hidden="false" customHeight="true" outlineLevel="0" collapsed="false">
      <c r="B20" s="10" t="s">
        <v>336</v>
      </c>
      <c r="C20" s="19" t="n">
        <v>8</v>
      </c>
      <c r="D20" s="13" t="n">
        <f aca="false">COUNTIF(Criteria!$B$2:$B$97,B20)</f>
        <v>8</v>
      </c>
      <c r="E20" s="12" t="n">
        <f aca="false">SUMIFS(Criteria!$R$2:$R$97,Criteria!$B$2:$B$97,B20)</f>
        <v>8.5</v>
      </c>
      <c r="F20" s="13" t="n">
        <f aca="false">SUMIFS(Criteria!$S$2:$S$97,Criteria!$B$2:$B$97,B20)</f>
        <v>12</v>
      </c>
      <c r="G20" s="20" t="n">
        <f aca="false">IF(F20=0,"",E20/F20)</f>
        <v>0.708333333333333</v>
      </c>
      <c r="H20" s="12" t="n">
        <f aca="false">IF(F20=0,"",G20*C20)</f>
        <v>5.66666666666667</v>
      </c>
      <c r="I20" s="10" t="s">
        <v>856</v>
      </c>
    </row>
    <row r="21" customFormat="false" ht="30" hidden="false" customHeight="true" outlineLevel="0" collapsed="false">
      <c r="B21" s="10" t="s">
        <v>400</v>
      </c>
      <c r="C21" s="19" t="n">
        <v>6</v>
      </c>
      <c r="D21" s="13" t="n">
        <f aca="false">COUNTIF(Criteria!$B$2:$B$97,B21)</f>
        <v>6</v>
      </c>
      <c r="E21" s="12" t="n">
        <f aca="false">SUMIFS(Criteria!$R$2:$R$97,Criteria!$B$2:$B$97,B21)</f>
        <v>8</v>
      </c>
      <c r="F21" s="13" t="n">
        <f aca="false">SUMIFS(Criteria!$S$2:$S$97,Criteria!$B$2:$B$97,B21)</f>
        <v>12</v>
      </c>
      <c r="G21" s="20" t="n">
        <f aca="false">IF(F21=0,"",E21/F21)</f>
        <v>0.666666666666667</v>
      </c>
      <c r="H21" s="12" t="n">
        <f aca="false">IF(F21=0,"",G21*C21)</f>
        <v>4</v>
      </c>
      <c r="I21" s="10" t="s">
        <v>857</v>
      </c>
    </row>
    <row r="22" customFormat="false" ht="30" hidden="false" customHeight="true" outlineLevel="0" collapsed="false">
      <c r="B22" s="10" t="s">
        <v>442</v>
      </c>
      <c r="C22" s="19" t="n">
        <v>14</v>
      </c>
      <c r="D22" s="13" t="n">
        <f aca="false">COUNTIF(Criteria!$B$2:$B$97,B22)</f>
        <v>11</v>
      </c>
      <c r="E22" s="12" t="n">
        <f aca="false">SUMIFS(Criteria!$R$2:$R$97,Criteria!$B$2:$B$97,B22)</f>
        <v>18.5</v>
      </c>
      <c r="F22" s="13" t="n">
        <f aca="false">SUMIFS(Criteria!$S$2:$S$97,Criteria!$B$2:$B$97,B22)</f>
        <v>24</v>
      </c>
      <c r="G22" s="20" t="n">
        <f aca="false">IF(F22=0,"",E22/F22)</f>
        <v>0.770833333333333</v>
      </c>
      <c r="H22" s="12" t="n">
        <f aca="false">IF(F22=0,"",G22*C22)</f>
        <v>10.7916666666667</v>
      </c>
      <c r="I22" s="10" t="s">
        <v>858</v>
      </c>
    </row>
    <row r="23" customFormat="false" ht="30" hidden="false" customHeight="true" outlineLevel="0" collapsed="false">
      <c r="B23" s="10" t="s">
        <v>528</v>
      </c>
      <c r="C23" s="19" t="n">
        <v>13</v>
      </c>
      <c r="D23" s="13" t="n">
        <f aca="false">COUNTIF(Criteria!$B$2:$B$97,B23)</f>
        <v>11</v>
      </c>
      <c r="E23" s="12" t="n">
        <f aca="false">SUMIFS(Criteria!$R$2:$R$97,Criteria!$B$2:$B$97,B23)</f>
        <v>14.5</v>
      </c>
      <c r="F23" s="13" t="n">
        <f aca="false">SUMIFS(Criteria!$S$2:$S$97,Criteria!$B$2:$B$97,B23)</f>
        <v>21</v>
      </c>
      <c r="G23" s="20" t="n">
        <f aca="false">IF(F23=0,"",E23/F23)</f>
        <v>0.690476190476191</v>
      </c>
      <c r="H23" s="12" t="n">
        <f aca="false">IF(F23=0,"",G23*C23)</f>
        <v>8.97619047619048</v>
      </c>
      <c r="I23" s="10" t="s">
        <v>859</v>
      </c>
    </row>
    <row r="24" customFormat="false" ht="30" hidden="false" customHeight="true" outlineLevel="0" collapsed="false">
      <c r="B24" s="10" t="s">
        <v>610</v>
      </c>
      <c r="C24" s="19" t="n">
        <v>8</v>
      </c>
      <c r="D24" s="13" t="n">
        <f aca="false">COUNTIF(Criteria!$B$2:$B$97,B24)</f>
        <v>7</v>
      </c>
      <c r="E24" s="12" t="n">
        <f aca="false">SUMIFS(Criteria!$R$2:$R$97,Criteria!$B$2:$B$97,B24)</f>
        <v>10.5</v>
      </c>
      <c r="F24" s="13" t="n">
        <f aca="false">SUMIFS(Criteria!$S$2:$S$97,Criteria!$B$2:$B$97,B24)</f>
        <v>14</v>
      </c>
      <c r="G24" s="20" t="n">
        <f aca="false">IF(F24=0,"",E24/F24)</f>
        <v>0.75</v>
      </c>
      <c r="H24" s="12" t="n">
        <f aca="false">IF(F24=0,"",G24*C24)</f>
        <v>6</v>
      </c>
      <c r="I24" s="10" t="s">
        <v>860</v>
      </c>
    </row>
    <row r="25" customFormat="false" ht="30" hidden="false" customHeight="true" outlineLevel="0" collapsed="false">
      <c r="B25" s="10" t="s">
        <v>662</v>
      </c>
      <c r="C25" s="19" t="n">
        <v>6</v>
      </c>
      <c r="D25" s="13" t="n">
        <f aca="false">COUNTIF(Criteria!$B$2:$B$97,B25)</f>
        <v>9</v>
      </c>
      <c r="E25" s="12" t="n">
        <f aca="false">SUMIFS(Criteria!$R$2:$R$97,Criteria!$B$2:$B$97,B25)</f>
        <v>9</v>
      </c>
      <c r="F25" s="13" t="n">
        <f aca="false">SUMIFS(Criteria!$S$2:$S$97,Criteria!$B$2:$B$97,B25)</f>
        <v>13</v>
      </c>
      <c r="G25" s="20" t="n">
        <f aca="false">IF(F25=0,"",E25/F25)</f>
        <v>0.692307692307692</v>
      </c>
      <c r="H25" s="12" t="n">
        <f aca="false">IF(F25=0,"",G25*C25)</f>
        <v>4.15384615384615</v>
      </c>
      <c r="I25" s="10" t="s">
        <v>861</v>
      </c>
    </row>
    <row r="26" customFormat="false" ht="30" hidden="false" customHeight="true" outlineLevel="0" collapsed="false">
      <c r="B26" s="10" t="s">
        <v>736</v>
      </c>
      <c r="C26" s="19" t="n">
        <v>5</v>
      </c>
      <c r="D26" s="13" t="n">
        <f aca="false">COUNTIF(Criteria!$B$2:$B$97,B26)</f>
        <v>8</v>
      </c>
      <c r="E26" s="12" t="n">
        <f aca="false">SUMIFS(Criteria!$R$2:$R$97,Criteria!$B$2:$B$97,B26)</f>
        <v>12</v>
      </c>
      <c r="F26" s="13" t="n">
        <f aca="false">SUMIFS(Criteria!$S$2:$S$97,Criteria!$B$2:$B$97,B26)</f>
        <v>16</v>
      </c>
      <c r="G26" s="20" t="n">
        <f aca="false">IF(F26=0,"",E26/F26)</f>
        <v>0.75</v>
      </c>
      <c r="H26" s="12" t="n">
        <f aca="false">IF(F26=0,"",G26*C26)</f>
        <v>3.75</v>
      </c>
      <c r="I26" s="10" t="s">
        <v>862</v>
      </c>
    </row>
    <row r="27" customFormat="false" ht="30" hidden="false" customHeight="true" outlineLevel="0" collapsed="false">
      <c r="B27" s="10" t="s">
        <v>790</v>
      </c>
      <c r="C27" s="19" t="n">
        <v>5</v>
      </c>
      <c r="D27" s="13" t="n">
        <f aca="false">COUNTIF(Criteria!$B$2:$B$97,B27)</f>
        <v>7</v>
      </c>
      <c r="E27" s="12" t="n">
        <f aca="false">SUMIFS(Criteria!$R$2:$R$97,Criteria!$B$2:$B$97,B27)</f>
        <v>8.5</v>
      </c>
      <c r="F27" s="13" t="n">
        <f aca="false">SUMIFS(Criteria!$S$2:$S$97,Criteria!$B$2:$B$97,B27)</f>
        <v>14</v>
      </c>
      <c r="G27" s="20" t="n">
        <f aca="false">IF(F27=0,"",E27/F27)</f>
        <v>0.607142857142857</v>
      </c>
      <c r="H27" s="12" t="n">
        <f aca="false">IF(F27=0,"",G27*C27)</f>
        <v>3.03571428571429</v>
      </c>
      <c r="I27" s="10" t="s">
        <v>863</v>
      </c>
    </row>
    <row r="28" customFormat="false" ht="15" hidden="false" customHeight="false" outlineLevel="0" collapsed="false">
      <c r="B28" s="21" t="s">
        <v>864</v>
      </c>
      <c r="C28" s="21" t="n">
        <f aca="false">SUM(C18:C27)</f>
        <v>100</v>
      </c>
      <c r="D28" s="21" t="n">
        <f aca="false">SUM(D18:D27)</f>
        <v>96</v>
      </c>
      <c r="E28" s="22"/>
      <c r="F28" s="22"/>
      <c r="G28" s="22"/>
      <c r="H28" s="22"/>
      <c r="I28" s="23" t="str">
        <f aca="false">IF(C28=100,"Category points total 100 - OK","CHECK: category points must total 100")</f>
        <v>Category points total 100 - OK</v>
      </c>
    </row>
    <row r="30" customFormat="false" ht="15" hidden="false" customHeight="false" outlineLevel="0" collapsed="false">
      <c r="B30" s="3" t="s">
        <v>865</v>
      </c>
    </row>
    <row r="31" customFormat="false" ht="15" hidden="false" customHeight="false" outlineLevel="0" collapsed="false">
      <c r="B31" s="24" t="s">
        <v>866</v>
      </c>
      <c r="C31" s="25" t="n">
        <f aca="false">IF(SUMIFS(C18:C27,F18:F27,"&gt;0")=0,"",SUM(H18:H27)/SUMIFS(C18:C27,F18:F27,"&gt;0")*100)</f>
        <v>73.8246771344598</v>
      </c>
    </row>
    <row r="32" customFormat="false" ht="15" hidden="false" customHeight="false" outlineLevel="0" collapsed="false">
      <c r="B32" s="24" t="s">
        <v>867</v>
      </c>
      <c r="C32" s="26" t="n">
        <f aca="false">COUNTIFS(Criteria!$H$2:$H$97,"Y",Criteria!$P$2:$P$97,"No")</f>
        <v>0</v>
      </c>
    </row>
    <row r="33" customFormat="false" ht="15" hidden="false" customHeight="false" outlineLevel="0" collapsed="false">
      <c r="B33" s="24" t="s">
        <v>868</v>
      </c>
      <c r="C33" s="27" t="n">
        <f aca="false">IF(C31="","",IF(C32&gt;0,MIN(C31,C10),C31))</f>
        <v>73.8246771344598</v>
      </c>
    </row>
    <row r="34" customFormat="false" ht="15" hidden="false" customHeight="false" outlineLevel="0" collapsed="false">
      <c r="B34" s="24" t="s">
        <v>869</v>
      </c>
      <c r="C34" s="28" t="str">
        <f aca="false">IF(C33="","",IF(C33&gt;=C11,"Healthy",IF(C33&gt;=C12,"Good, with gaps",IF(C33&gt;=C13,"Needs attention","At risk"))))</f>
        <v>Good, with gaps</v>
      </c>
    </row>
    <row r="35" customFormat="false" ht="15" hidden="false" customHeight="false" outlineLevel="0" collapsed="false">
      <c r="B35" s="24" t="s">
        <v>870</v>
      </c>
      <c r="C35" s="26" t="n">
        <f aca="false">COUNTIF(Criteria!$P$2:$P$97,"Yes")+COUNTIF(Criteria!$P$2:$P$97,"Partial")+COUNTIF(Criteria!$P$2:$P$97,"No")</f>
        <v>95</v>
      </c>
    </row>
    <row r="36" customFormat="false" ht="15" hidden="false" customHeight="false" outlineLevel="0" collapsed="false">
      <c r="B36" s="24" t="s">
        <v>871</v>
      </c>
      <c r="C36" s="26" t="n">
        <f aca="false">COUNTIF(Criteria!$P$2:$P$97,"N/A")</f>
        <v>1</v>
      </c>
    </row>
    <row r="37" customFormat="false" ht="15" hidden="false" customHeight="false" outlineLevel="0" collapsed="false">
      <c r="B37" s="24" t="s">
        <v>872</v>
      </c>
      <c r="C37" s="26" t="n">
        <f aca="false">COUNTBLANK(Criteria!$P$2:$P$97)</f>
        <v>0</v>
      </c>
    </row>
    <row r="40" customFormat="false" ht="15" hidden="false" customHeight="false" outlineLevel="0" collapsed="false">
      <c r="B40" s="3" t="s">
        <v>873</v>
      </c>
    </row>
    <row r="41" customFormat="false" ht="15" hidden="false" customHeight="false" outlineLevel="0" collapsed="false">
      <c r="B41" s="29" t="s">
        <v>874</v>
      </c>
      <c r="C41" s="29" t="s">
        <v>38</v>
      </c>
      <c r="D41" s="29" t="s">
        <v>67</v>
      </c>
      <c r="E41" s="29" t="s">
        <v>50</v>
      </c>
      <c r="F41" s="29"/>
      <c r="G41" s="29"/>
      <c r="H41" s="29"/>
      <c r="I41" s="29"/>
    </row>
    <row r="42" customFormat="false" ht="42" hidden="false" customHeight="true" outlineLevel="0" collapsed="false">
      <c r="B42" s="10" t="n">
        <v>1</v>
      </c>
      <c r="C42" s="13" t="str">
        <f aca="false">IF(LARGE(Criteria!$V$2:$V$97,1)=0,"",INDEX(Criteria!$A$2:$A$97,MATCH(LARGE(Criteria!$V$2:$V$97,1),Criteria!$V$2:$V$97,0)))</f>
        <v>BRD-01</v>
      </c>
      <c r="D42" s="14" t="n">
        <f aca="false">IF(C42="","",INDEX(Criteria!$U$2:$U$97,MATCH(C42,Criteria!$A$2:$A$97,0)))</f>
        <v>1.5</v>
      </c>
      <c r="E42" s="30" t="str">
        <f aca="false">IF(C42="","",INDEX(Criteria!$I$2:$I$97,MATCH(C42,Criteria!$A$2:$A$97,0)))</f>
        <v>Apply the organisation's brand guidelines, including font types, colour palette and styling, to minimise experience inconsistency across applications.</v>
      </c>
      <c r="F42" s="30"/>
      <c r="G42" s="30"/>
      <c r="H42" s="30"/>
      <c r="I42" s="30"/>
    </row>
    <row r="43" customFormat="false" ht="42" hidden="false" customHeight="true" outlineLevel="0" collapsed="false">
      <c r="B43" s="10" t="n">
        <v>2</v>
      </c>
      <c r="C43" s="13" t="str">
        <f aca="false">IF(LARGE(Criteria!$V$2:$V$97,2)=0,"",INDEX(Criteria!$A$2:$A$97,MATCH(LARGE(Criteria!$V$2:$V$97,2),Criteria!$V$2:$V$97,0)))</f>
        <v>CON-02</v>
      </c>
      <c r="D43" s="14" t="n">
        <f aca="false">IF(C43="","",INDEX(Criteria!$U$2:$U$97,MATCH(C43,Criteria!$A$2:$A$97,0)))</f>
        <v>1.33333333333333</v>
      </c>
      <c r="E43" s="30" t="str">
        <f aca="false">IF(C43="","",INDEX(Criteria!$I$2:$I$97,MATCH(C43,Criteria!$A$2:$A$97,0)))</f>
        <v>Apply the organisation's tone of voice guidelines to all service content, including error messages, emails and letters, and review content against them.</v>
      </c>
      <c r="F43" s="30"/>
      <c r="G43" s="30"/>
      <c r="H43" s="30"/>
      <c r="I43" s="30"/>
    </row>
    <row r="44" customFormat="false" ht="42" hidden="false" customHeight="true" outlineLevel="0" collapsed="false">
      <c r="B44" s="10" t="n">
        <v>3</v>
      </c>
      <c r="C44" s="13" t="str">
        <f aca="false">IF(LARGE(Criteria!$V$2:$V$97,3)=0,"",INDEX(Criteria!$A$2:$A$97,MATCH(LARGE(Criteria!$V$2:$V$97,3),Criteria!$V$2:$V$97,0)))</f>
        <v>UXD-08</v>
      </c>
      <c r="D44" s="14" t="n">
        <f aca="false">IF(C44="","",INDEX(Criteria!$U$2:$U$97,MATCH(C44,Criteria!$A$2:$A$97,0)))</f>
        <v>1.30434782608696</v>
      </c>
      <c r="E44" s="30" t="str">
        <f aca="false">IF(C44="","",INDEX(Criteria!$I$2:$I$97,MATCH(C44,Criteria!$A$2:$A$97,0)))</f>
        <v>Use and contribute to a shared design system so components are tested, accessible and consistent across the organisation's services.</v>
      </c>
      <c r="F44" s="30"/>
      <c r="G44" s="30"/>
      <c r="H44" s="30"/>
      <c r="I44" s="30"/>
    </row>
    <row r="45" customFormat="false" ht="42" hidden="false" customHeight="true" outlineLevel="0" collapsed="false">
      <c r="B45" s="10" t="n">
        <v>4</v>
      </c>
      <c r="C45" s="13" t="str">
        <f aca="false">IF(LARGE(Criteria!$V$2:$V$97,4)=0,"",INDEX(Criteria!$A$2:$A$97,MATCH(LARGE(Criteria!$V$2:$V$97,4),Criteria!$V$2:$V$97,0)))</f>
        <v>OPS-03</v>
      </c>
      <c r="D45" s="14" t="n">
        <f aca="false">IF(C45="","",INDEX(Criteria!$U$2:$U$97,MATCH(C45,Criteria!$A$2:$A$97,0)))</f>
        <v>1.23809523809524</v>
      </c>
      <c r="E45" s="30" t="str">
        <f aca="false">IF(C45="","",INDEX(Criteria!$I$2:$I$97,MATCH(C45,Criteria!$A$2:$A$97,0)))</f>
        <v>Centralise logs, metrics and traces with correlation IDs so issues can be traced across components and suppliers.</v>
      </c>
      <c r="F45" s="30"/>
      <c r="G45" s="30"/>
      <c r="H45" s="30"/>
      <c r="I45" s="30"/>
    </row>
    <row r="46" customFormat="false" ht="42" hidden="false" customHeight="true" outlineLevel="0" collapsed="false">
      <c r="B46" s="10" t="n">
        <v>5</v>
      </c>
      <c r="C46" s="13" t="str">
        <f aca="false">IF(LARGE(Criteria!$V$2:$V$97,5)=0,"",INDEX(Criteria!$A$2:$A$97,MATCH(LARGE(Criteria!$V$2:$V$97,5),Criteria!$V$2:$V$97,0)))</f>
        <v>SEC-08</v>
      </c>
      <c r="D46" s="14" t="n">
        <f aca="false">IF(C46="","",INDEX(Criteria!$U$2:$U$97,MATCH(C46,Criteria!$A$2:$A$97,0)))</f>
        <v>1.16666666666667</v>
      </c>
      <c r="E46" s="30" t="str">
        <f aca="false">IF(C46="","",INDEX(Criteria!$I$2:$I$97,MATCH(C46,Criteria!$A$2:$A$97,0)))</f>
        <v>Document and exercise a privacy breach response process that meets the notifiable privacy breach requirements of the Privacy Act 2020.</v>
      </c>
      <c r="F46" s="30"/>
      <c r="G46" s="30"/>
      <c r="H46" s="30"/>
      <c r="I46" s="30"/>
    </row>
  </sheetData>
  <mergeCells count="6">
    <mergeCell ref="E41:I41"/>
    <mergeCell ref="E42:I42"/>
    <mergeCell ref="E43:I43"/>
    <mergeCell ref="E44:I44"/>
    <mergeCell ref="E45:I45"/>
    <mergeCell ref="E46:I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64"/>
    <col collapsed="false" customWidth="true" hidden="false" outlineLevel="0" max="4" min="4" style="0" width="9"/>
    <col collapsed="false" customWidth="true" hidden="false" outlineLevel="0" max="5" min="5" style="0" width="60"/>
    <col collapsed="false" customWidth="true" hidden="false" outlineLevel="0" max="6" min="6" style="0" width="44"/>
    <col collapsed="false" customWidth="true" hidden="false" outlineLevel="0" max="7" min="7" style="0" width="16"/>
    <col collapsed="false" customWidth="true" hidden="false" outlineLevel="0" max="8" min="8" style="0" width="14"/>
    <col collapsed="false" customWidth="true" hidden="false" outlineLevel="0" max="9" min="9" style="0" width="2"/>
    <col collapsed="false" customWidth="true" hidden="false" outlineLevel="0" max="10" min="10" style="0" width="12"/>
    <col collapsed="false" customWidth="true" hidden="false" outlineLevel="0" max="11" min="11" style="0" width="10"/>
    <col collapsed="false" customWidth="true" hidden="false" outlineLevel="0" max="13" min="12" style="0" width="9"/>
    <col collapsed="false" customWidth="true" hidden="false" outlineLevel="0" max="14" min="14" style="0" width="12"/>
    <col collapsed="false" customWidth="true" hidden="false" outlineLevel="0" max="15" min="15" style="0" width="50"/>
    <col collapsed="false" customWidth="true" hidden="false" outlineLevel="0" max="17" min="16" style="0" width="10"/>
    <col collapsed="false" customWidth="true" hidden="false" outlineLevel="0" max="18" min="18" style="0" width="40"/>
  </cols>
  <sheetData>
    <row r="1" customFormat="false" ht="31.5" hidden="false" customHeight="true" outlineLevel="0" collapsed="false">
      <c r="A1" s="9" t="s">
        <v>38</v>
      </c>
      <c r="B1" s="9" t="s">
        <v>82</v>
      </c>
      <c r="C1" s="9" t="s">
        <v>42</v>
      </c>
      <c r="D1" s="9" t="s">
        <v>48</v>
      </c>
      <c r="E1" s="9" t="s">
        <v>85</v>
      </c>
      <c r="F1" s="9" t="s">
        <v>86</v>
      </c>
      <c r="G1" s="9" t="s">
        <v>54</v>
      </c>
      <c r="H1" s="9" t="s">
        <v>56</v>
      </c>
      <c r="J1" s="9" t="s">
        <v>840</v>
      </c>
      <c r="K1" s="9" t="s">
        <v>61</v>
      </c>
      <c r="L1" s="9" t="s">
        <v>849</v>
      </c>
      <c r="M1" s="9" t="s">
        <v>850</v>
      </c>
      <c r="N1" s="9" t="s">
        <v>875</v>
      </c>
      <c r="O1" s="9" t="s">
        <v>91</v>
      </c>
      <c r="P1" s="9" t="s">
        <v>67</v>
      </c>
      <c r="Q1" s="9" t="s">
        <v>92</v>
      </c>
      <c r="R1" s="9" t="s">
        <v>94</v>
      </c>
    </row>
    <row r="2" customFormat="false" ht="35.05" hidden="false" customHeight="false" outlineLevel="0" collapsed="false">
      <c r="A2" s="10" t="s">
        <v>95</v>
      </c>
      <c r="B2" s="13" t="str">
        <f aca="false">INDEX(Criteria!$B$2:$B$97,MATCH($A2,Criteria!$A$2:$A$97,0))</f>
        <v>Accessibility</v>
      </c>
      <c r="C2" s="13" t="str">
        <f aca="false">INDEX(Criteria!$D$2:$D$97,MATCH($A2,Criteria!$A$2:$A$97,0))</f>
        <v>Has the service been assessed against WCAG 2.2 Level AA in the last 12 months, including manual testing (not automated tools alone)?</v>
      </c>
      <c r="D2" s="30" t="str">
        <f aca="false">INDEX(Criteria!$H$2:$H$97,MATCH($A2,Criteria!$A$2:$A$97,0))</f>
        <v>Y</v>
      </c>
      <c r="E2" s="13" t="str">
        <f aca="false">INDEX(Criteria!$I$2:$I$97,MATCH($A2,Criteria!$A$2:$A$97,0))</f>
        <v>Commission or complete a WCAG 2.2 AA assessment that includes manual and assistive technology testing, covering every page in each complete process, and repeat it at least annually or after major change.</v>
      </c>
      <c r="F2" s="13" t="str">
        <f aca="false">INDEX(Criteria!$J$2:$J$97,MATCH($A2,Criteria!$A$2:$A$97,0))</f>
        <v>NZ Government Web Accessibility Standard; WCAG 2.2</v>
      </c>
      <c r="G2" s="13" t="str">
        <f aca="false">INDEX(Criteria!$L$2:$L$97,MATCH($A2,Criteria!$A$2:$A$97,0))</f>
        <v>Mandatory (NZ)</v>
      </c>
      <c r="H2" s="13" t="str">
        <f aca="false">INDEX(Criteria!$M$2:$M$97,MATCH($A2,Criteria!$A$2:$A$97,0))</f>
        <v>All</v>
      </c>
      <c r="J2" s="11" t="s">
        <v>108</v>
      </c>
      <c r="K2" s="12" t="n">
        <f aca="false">IF(J2="Yes",'Scoring (simple)'!$C$6,IF(J2="Partial",'Scoring (simple)'!$C$7,IF(J2="No",'Scoring (simple)'!$C$8,"")))</f>
        <v>1</v>
      </c>
      <c r="L2" s="12" t="n">
        <f aca="false">IF(K2="",0,K2)</f>
        <v>1</v>
      </c>
      <c r="M2" s="13" t="n">
        <f aca="false">IF(K2="",0,1)</f>
        <v>1</v>
      </c>
      <c r="N2" s="12" t="n">
        <f aca="false">INDEX('Scoring (simple)'!$C$18:$C$27,MATCH(B2,'Scoring (simple)'!$B$18:$B$27,0))/COUNTIF($B$2:$B$20,B2)</f>
        <v>6.66666666666667</v>
      </c>
      <c r="O2" s="13" t="str">
        <f aca="false">IF(OR(J2="Partial",J2="No"),E2,"")</f>
        <v/>
      </c>
      <c r="P2" s="14" t="n">
        <f aca="false">IF(K2="",0,(1-K2)/SUMIFS($M$2:$M$20,$B$2:$B$20,B2)*INDEX('Scoring (simple)'!$C$18:$C$27,MATCH(B2,'Scoring (simple)'!$B$18:$B$27,0)))</f>
        <v>0</v>
      </c>
      <c r="Q2" s="14" t="n">
        <f aca="false">IF(P2&gt;0,P2+IF(AND(D2="Y",J2="No"),1000,0)+ROW()/100000,0)</f>
        <v>0</v>
      </c>
      <c r="R2" s="31" t="str">
        <f aca="false">IF(INDEX(Criteria!$X$2:$X$97,MATCH($A2,Criteria!$A$2:$A$97,0))="",INDEX(Criteria!$W$2:$W$97,MATCH($A2,Criteria!$A$2:$A$97,0)),HYPERLINK(INDEX(Criteria!$X$2:$X$97,MATCH($A2,Criteria!$A$2:$A$97,0)),INDEX(Criteria!$W$2:$W$97,MATCH($A2,Criteria!$A$2:$A$97,0))))</f>
        <v>NZ Web Accessibility Standard 1.2</v>
      </c>
    </row>
    <row r="3" customFormat="false" ht="35.05" hidden="false" customHeight="false" outlineLevel="0" collapsed="false">
      <c r="A3" s="10" t="s">
        <v>111</v>
      </c>
      <c r="B3" s="13" t="str">
        <f aca="false">INDEX(Criteria!$B$2:$B$97,MATCH($A3,Criteria!$A$2:$A$97,0))</f>
        <v>Accessibility</v>
      </c>
      <c r="C3" s="13" t="str">
        <f aca="false">INDEX(Criteria!$D$2:$D$97,MATCH($A3,Criteria!$A$2:$A$97,0))</f>
        <v>Have the service's key tasks been tested end to end with screen readers on both desktop and mobile (for example NVDA or JAWS, VoiceOver, TalkBack)?</v>
      </c>
      <c r="D3" s="30" t="str">
        <f aca="false">INDEX(Criteria!$H$2:$H$97,MATCH($A3,Criteria!$A$2:$A$97,0))</f>
        <v>N</v>
      </c>
      <c r="E3" s="13" t="str">
        <f aca="false">INDEX(Criteria!$I$2:$I$97,MATCH($A3,Criteria!$A$2:$A$97,0))</f>
        <v>Test every key task with at least one desktop and one mobile screen reader, ideally including blind and low vision users, and fix issues that stop tasks being completed.</v>
      </c>
      <c r="F3" s="13" t="str">
        <f aca="false">INDEX(Criteria!$J$2:$J$97,MATCH($A3,Criteria!$A$2:$A$97,0))</f>
        <v>WCAG 2.2 SC 4.1.2, 1.3.1; W3C WCAG-EM</v>
      </c>
      <c r="G3" s="13" t="str">
        <f aca="false">INDEX(Criteria!$L$2:$L$97,MATCH($A3,Criteria!$A$2:$A$97,0))</f>
        <v>Recommended (NZ)</v>
      </c>
      <c r="H3" s="13" t="str">
        <f aca="false">INDEX(Criteria!$M$2:$M$97,MATCH($A3,Criteria!$A$2:$A$97,0))</f>
        <v>All</v>
      </c>
      <c r="J3" s="11" t="s">
        <v>129</v>
      </c>
      <c r="K3" s="12" t="n">
        <f aca="false">IF(J3="Yes",'Scoring (simple)'!$C$6,IF(J3="Partial",'Scoring (simple)'!$C$7,IF(J3="No",'Scoring (simple)'!$C$8,"")))</f>
        <v>0.5</v>
      </c>
      <c r="L3" s="12" t="n">
        <f aca="false">IF(K3="",0,K3)</f>
        <v>0.5</v>
      </c>
      <c r="M3" s="13" t="n">
        <f aca="false">IF(K3="",0,1)</f>
        <v>1</v>
      </c>
      <c r="N3" s="12" t="n">
        <f aca="false">INDEX('Scoring (simple)'!$C$18:$C$27,MATCH(B3,'Scoring (simple)'!$B$18:$B$27,0))/COUNTIF($B$2:$B$20,B3)</f>
        <v>6.66666666666667</v>
      </c>
      <c r="O3" s="13" t="str">
        <f aca="false">IF(OR(J3="Partial",J3="No"),E3,"")</f>
        <v>Test every key task with at least one desktop and one mobile screen reader, ideally including blind and low vision users, and fix issues that stop tasks being completed.</v>
      </c>
      <c r="P3" s="14" t="n">
        <f aca="false">IF(K3="",0,(1-K3)/SUMIFS($M$2:$M$20,$B$2:$B$20,B3)*INDEX('Scoring (simple)'!$C$18:$C$27,MATCH(B3,'Scoring (simple)'!$B$18:$B$27,0)))</f>
        <v>3.33333333333333</v>
      </c>
      <c r="Q3" s="14" t="n">
        <f aca="false">IF(P3&gt;0,P3+IF(AND(D3="Y",J3="No"),1000,0)+ROW()/100000,0)</f>
        <v>3.33336333333333</v>
      </c>
      <c r="R3" s="31" t="str">
        <f aca="false">IF(INDEX(Criteria!$X$2:$X$97,MATCH($A3,Criteria!$A$2:$A$97,0))="",INDEX(Criteria!$W$2:$W$97,MATCH($A3,Criteria!$A$2:$A$97,0)),HYPERLINK(INDEX(Criteria!$X$2:$X$97,MATCH($A3,Criteria!$A$2:$A$97,0)),INDEX(Criteria!$W$2:$W$97,MATCH($A3,Criteria!$A$2:$A$97,0))))</f>
        <v>W3C accessibility evaluation methodology</v>
      </c>
    </row>
    <row r="4" customFormat="false" ht="35.05" hidden="false" customHeight="false" outlineLevel="0" collapsed="false">
      <c r="A4" s="10" t="s">
        <v>138</v>
      </c>
      <c r="B4" s="13" t="str">
        <f aca="false">INDEX(Criteria!$B$2:$B$97,MATCH($A4,Criteria!$A$2:$A$97,0))</f>
        <v>Accessibility</v>
      </c>
      <c r="C4" s="13" t="str">
        <f aca="false">INDEX(Criteria!$D$2:$D$97,MATCH($A4,Criteria!$A$2:$A$97,0))</f>
        <v>Can every function be used with a keyboard alone, with no keyboard traps, a logical focus order, and a visible focus indicator that is not hidden by other content?</v>
      </c>
      <c r="D4" s="30" t="str">
        <f aca="false">INDEX(Criteria!$H$2:$H$97,MATCH($A4,Criteria!$A$2:$A$97,0))</f>
        <v>Y</v>
      </c>
      <c r="E4" s="13" t="str">
        <f aca="false">INDEX(Criteria!$I$2:$I$97,MATCH($A4,Criteria!$A$2:$A$97,0))</f>
        <v>Make all functionality keyboard operable, remove keyboard traps, keep focus order logical and ensure the focus indicator is always visible and not obscured by sticky headers, banners or overlays.</v>
      </c>
      <c r="F4" s="13" t="str">
        <f aca="false">INDEX(Criteria!$J$2:$J$97,MATCH($A4,Criteria!$A$2:$A$97,0))</f>
        <v>WCAG 2.2 SC 2.1.1, 2.1.2, 2.4.3, 2.4.7, 2.4.11</v>
      </c>
      <c r="G4" s="13" t="str">
        <f aca="false">INDEX(Criteria!$L$2:$L$97,MATCH($A4,Criteria!$A$2:$A$97,0))</f>
        <v>Mandatory (NZ)</v>
      </c>
      <c r="H4" s="13" t="str">
        <f aca="false">INDEX(Criteria!$M$2:$M$97,MATCH($A4,Criteria!$A$2:$A$97,0))</f>
        <v>All</v>
      </c>
      <c r="J4" s="11" t="s">
        <v>108</v>
      </c>
      <c r="K4" s="12" t="n">
        <f aca="false">IF(J4="Yes",'Scoring (simple)'!$C$6,IF(J4="Partial",'Scoring (simple)'!$C$7,IF(J4="No",'Scoring (simple)'!$C$8,"")))</f>
        <v>1</v>
      </c>
      <c r="L4" s="12" t="n">
        <f aca="false">IF(K4="",0,K4)</f>
        <v>1</v>
      </c>
      <c r="M4" s="13" t="n">
        <f aca="false">IF(K4="",0,1)</f>
        <v>1</v>
      </c>
      <c r="N4" s="12" t="n">
        <f aca="false">INDEX('Scoring (simple)'!$C$18:$C$27,MATCH(B4,'Scoring (simple)'!$B$18:$B$27,0))/COUNTIF($B$2:$B$20,B4)</f>
        <v>6.66666666666667</v>
      </c>
      <c r="O4" s="13" t="str">
        <f aca="false">IF(OR(J4="Partial",J4="No"),E4,"")</f>
        <v/>
      </c>
      <c r="P4" s="14" t="n">
        <f aca="false">IF(K4="",0,(1-K4)/SUMIFS($M$2:$M$20,$B$2:$B$20,B4)*INDEX('Scoring (simple)'!$C$18:$C$27,MATCH(B4,'Scoring (simple)'!$B$18:$B$27,0)))</f>
        <v>0</v>
      </c>
      <c r="Q4" s="14" t="n">
        <f aca="false">IF(P4&gt;0,P4+IF(AND(D4="Y",J4="No"),1000,0)+ROW()/100000,0)</f>
        <v>0</v>
      </c>
      <c r="R4" s="31" t="str">
        <f aca="false">IF(INDEX(Criteria!$X$2:$X$97,MATCH($A4,Criteria!$A$2:$A$97,0))="",INDEX(Criteria!$W$2:$W$97,MATCH($A4,Criteria!$A$2:$A$97,0)),HYPERLINK(INDEX(Criteria!$X$2:$X$97,MATCH($A4,Criteria!$A$2:$A$97,0)),INDEX(Criteria!$W$2:$W$97,MATCH($A4,Criteria!$A$2:$A$97,0))))</f>
        <v>WCAG 2.2 quick reference</v>
      </c>
    </row>
    <row r="5" customFormat="false" ht="35.05" hidden="false" customHeight="false" outlineLevel="0" collapsed="false">
      <c r="A5" s="10" t="s">
        <v>235</v>
      </c>
      <c r="B5" s="13" t="str">
        <f aca="false">INDEX(Criteria!$B$2:$B$97,MATCH($A5,Criteria!$A$2:$A$97,0))</f>
        <v>Usability and design</v>
      </c>
      <c r="C5" s="13" t="str">
        <f aca="false">INDEX(Criteria!$D$2:$D$97,MATCH($A5,Criteria!$A$2:$A$97,0))</f>
        <v>Is the service responsive or adaptive, so content and controls scale and reflow correctly across phone, tablet and desktop screen sizes and orientations?</v>
      </c>
      <c r="D5" s="30" t="str">
        <f aca="false">INDEX(Criteria!$H$2:$H$97,MATCH($A5,Criteria!$A$2:$A$97,0))</f>
        <v>Y</v>
      </c>
      <c r="E5" s="13" t="str">
        <f aca="false">INDEX(Criteria!$I$2:$I$97,MATCH($A5,Criteria!$A$2:$A$97,0))</f>
        <v>Ensure the application is adaptive, so content and objects scale to the user's screen size and orientation, and test key tasks on the devices your users actually use.</v>
      </c>
      <c r="F5" s="13" t="str">
        <f aca="false">INDEX(Criteria!$J$2:$J$97,MATCH($A5,Criteria!$A$2:$A$97,0))</f>
        <v>OMB M-23-22 (design pillar); WCAG 2.2 SC 1.3.4, 1.4.10</v>
      </c>
      <c r="G5" s="13" t="str">
        <f aca="false">INDEX(Criteria!$L$2:$L$97,MATCH($A5,Criteria!$A$2:$A$97,0))</f>
        <v>Good practice</v>
      </c>
      <c r="H5" s="13" t="str">
        <f aca="false">INDEX(Criteria!$M$2:$M$97,MATCH($A5,Criteria!$A$2:$A$97,0))</f>
        <v>All</v>
      </c>
      <c r="J5" s="11" t="s">
        <v>108</v>
      </c>
      <c r="K5" s="12" t="n">
        <f aca="false">IF(J5="Yes",'Scoring (simple)'!$C$6,IF(J5="Partial",'Scoring (simple)'!$C$7,IF(J5="No",'Scoring (simple)'!$C$8,"")))</f>
        <v>1</v>
      </c>
      <c r="L5" s="12" t="n">
        <f aca="false">IF(K5="",0,K5)</f>
        <v>1</v>
      </c>
      <c r="M5" s="13" t="n">
        <f aca="false">IF(K5="",0,1)</f>
        <v>1</v>
      </c>
      <c r="N5" s="12" t="n">
        <f aca="false">INDEX('Scoring (simple)'!$C$18:$C$27,MATCH(B5,'Scoring (simple)'!$B$18:$B$27,0))/COUNTIF($B$2:$B$20,B5)</f>
        <v>7.5</v>
      </c>
      <c r="O5" s="13" t="str">
        <f aca="false">IF(OR(J5="Partial",J5="No"),E5,"")</f>
        <v/>
      </c>
      <c r="P5" s="14" t="n">
        <f aca="false">IF(K5="",0,(1-K5)/SUMIFS($M$2:$M$20,$B$2:$B$20,B5)*INDEX('Scoring (simple)'!$C$18:$C$27,MATCH(B5,'Scoring (simple)'!$B$18:$B$27,0)))</f>
        <v>0</v>
      </c>
      <c r="Q5" s="14" t="n">
        <f aca="false">IF(P5&gt;0,P5+IF(AND(D5="Y",J5="No"),1000,0)+ROW()/100000,0)</f>
        <v>0</v>
      </c>
      <c r="R5" s="31" t="str">
        <f aca="false">IF(INDEX(Criteria!$X$2:$X$97,MATCH($A5,Criteria!$A$2:$A$97,0))="",INDEX(Criteria!$W$2:$W$97,MATCH($A5,Criteria!$A$2:$A$97,0)),HYPERLINK(INDEX(Criteria!$X$2:$X$97,MATCH($A5,Criteria!$A$2:$A$97,0)),INDEX(Criteria!$W$2:$W$97,MATCH($A5,Criteria!$A$2:$A$97,0))))</f>
        <v>GOV.UK: services that work on mobile</v>
      </c>
    </row>
    <row r="6" customFormat="false" ht="35.05" hidden="false" customHeight="false" outlineLevel="0" collapsed="false">
      <c r="A6" s="10" t="s">
        <v>245</v>
      </c>
      <c r="B6" s="13" t="str">
        <f aca="false">INDEX(Criteria!$B$2:$B$97,MATCH($A6,Criteria!$A$2:$A$97,0))</f>
        <v>Usability and design</v>
      </c>
      <c r="C6" s="13" t="str">
        <f aca="false">INDEX(Criteria!$D$2:$D$97,MATCH($A6,Criteria!$A$2:$A$97,0))</f>
        <v>Has research with real users of this service (not proxies) informed its design or changes in the last 12 months?</v>
      </c>
      <c r="D6" s="30" t="str">
        <f aca="false">INDEX(Criteria!$H$2:$H$97,MATCH($A6,Criteria!$A$2:$A$97,0))</f>
        <v>N</v>
      </c>
      <c r="E6" s="13" t="str">
        <f aca="false">INDEX(Criteria!$I$2:$I$97,MATCH($A6,Criteria!$A$2:$A$97,0))</f>
        <v>Run regular user research with people who use the service, including those who struggle, and record how findings change the service.</v>
      </c>
      <c r="F6" s="13" t="str">
        <f aca="false">INDEX(Criteria!$J$2:$J$97,MATCH($A6,Criteria!$A$2:$A$97,0))</f>
        <v>GOV.UK Service Standard point 1; AU DSS 2.0 criterion 2; Digital Service Design Standard</v>
      </c>
      <c r="G6" s="13" t="str">
        <f aca="false">INDEX(Criteria!$L$2:$L$97,MATCH($A6,Criteria!$A$2:$A$97,0))</f>
        <v>Recommended (NZ)</v>
      </c>
      <c r="H6" s="13" t="str">
        <f aca="false">INDEX(Criteria!$M$2:$M$97,MATCH($A6,Criteria!$A$2:$A$97,0))</f>
        <v>All</v>
      </c>
      <c r="J6" s="11" t="s">
        <v>129</v>
      </c>
      <c r="K6" s="12" t="n">
        <f aca="false">IF(J6="Yes",'Scoring (simple)'!$C$6,IF(J6="Partial",'Scoring (simple)'!$C$7,IF(J6="No",'Scoring (simple)'!$C$8,"")))</f>
        <v>0.5</v>
      </c>
      <c r="L6" s="12" t="n">
        <f aca="false">IF(K6="",0,K6)</f>
        <v>0.5</v>
      </c>
      <c r="M6" s="13" t="n">
        <f aca="false">IF(K6="",0,1)</f>
        <v>1</v>
      </c>
      <c r="N6" s="12" t="n">
        <f aca="false">INDEX('Scoring (simple)'!$C$18:$C$27,MATCH(B6,'Scoring (simple)'!$B$18:$B$27,0))/COUNTIF($B$2:$B$20,B6)</f>
        <v>7.5</v>
      </c>
      <c r="O6" s="13" t="str">
        <f aca="false">IF(OR(J6="Partial",J6="No"),E6,"")</f>
        <v>Run regular user research with people who use the service, including those who struggle, and record how findings change the service.</v>
      </c>
      <c r="P6" s="14" t="n">
        <f aca="false">IF(K6="",0,(1-K6)/SUMIFS($M$2:$M$20,$B$2:$B$20,B6)*INDEX('Scoring (simple)'!$C$18:$C$27,MATCH(B6,'Scoring (simple)'!$B$18:$B$27,0)))</f>
        <v>3.75</v>
      </c>
      <c r="Q6" s="14" t="n">
        <f aca="false">IF(P6&gt;0,P6+IF(AND(D6="Y",J6="No"),1000,0)+ROW()/100000,0)</f>
        <v>3.75006</v>
      </c>
      <c r="R6" s="31" t="str">
        <f aca="false">IF(INDEX(Criteria!$X$2:$X$97,MATCH($A6,Criteria!$A$2:$A$97,0))="",INDEX(Criteria!$W$2:$W$97,MATCH($A6,Criteria!$A$2:$A$97,0)),HYPERLINK(INDEX(Criteria!$X$2:$X$97,MATCH($A6,Criteria!$A$2:$A$97,0)),INDEX(Criteria!$W$2:$W$97,MATCH($A6,Criteria!$A$2:$A$97,0))))</f>
        <v>GOV.UK: understand users and needs</v>
      </c>
    </row>
    <row r="7" customFormat="false" ht="35.05" hidden="false" customHeight="false" outlineLevel="0" collapsed="false">
      <c r="A7" s="10" t="s">
        <v>335</v>
      </c>
      <c r="B7" s="13" t="str">
        <f aca="false">INDEX(Criteria!$B$2:$B$97,MATCH($A7,Criteria!$A$2:$A$97,0))</f>
        <v>Content and tone of voice</v>
      </c>
      <c r="C7" s="13" t="str">
        <f aca="false">INDEX(Criteria!$D$2:$D$97,MATCH($A7,Criteria!$A$2:$A$97,0))</f>
        <v>Is content written in plain language appropriate to the intended audience, and has it been checked (for example readability testing or user testing)?</v>
      </c>
      <c r="D7" s="30" t="str">
        <f aca="false">INDEX(Criteria!$H$2:$H$97,MATCH($A7,Criteria!$A$2:$A$97,0))</f>
        <v>N</v>
      </c>
      <c r="E7" s="13" t="str">
        <f aca="false">INDEX(Criteria!$I$2:$I$97,MATCH($A7,Criteria!$A$2:$A$97,0))</f>
        <v>Write and review all public content in plain language, test it with users, and follow the agency's Plain Language Act processes.</v>
      </c>
      <c r="F7" s="13" t="str">
        <f aca="false">INDEX(Criteria!$J$2:$J$97,MATCH($A7,Criteria!$A$2:$A$97,0))</f>
        <v>Plain Language Act 2022</v>
      </c>
      <c r="G7" s="13" t="str">
        <f aca="false">INDEX(Criteria!$L$2:$L$97,MATCH($A7,Criteria!$A$2:$A$97,0))</f>
        <v>Mandatory (NZ)</v>
      </c>
      <c r="H7" s="13" t="str">
        <f aca="false">INDEX(Criteria!$M$2:$M$97,MATCH($A7,Criteria!$A$2:$A$97,0))</f>
        <v>Public-facing</v>
      </c>
      <c r="J7" s="11" t="s">
        <v>300</v>
      </c>
      <c r="K7" s="12" t="n">
        <f aca="false">IF(J7="Yes",'Scoring (simple)'!$C$6,IF(J7="Partial",'Scoring (simple)'!$C$7,IF(J7="No",'Scoring (simple)'!$C$8,"")))</f>
        <v>0</v>
      </c>
      <c r="L7" s="12" t="n">
        <f aca="false">IF(K7="",0,K7)</f>
        <v>0</v>
      </c>
      <c r="M7" s="13" t="n">
        <f aca="false">IF(K7="",0,1)</f>
        <v>1</v>
      </c>
      <c r="N7" s="12" t="n">
        <f aca="false">INDEX('Scoring (simple)'!$C$18:$C$27,MATCH(B7,'Scoring (simple)'!$B$18:$B$27,0))/COUNTIF($B$2:$B$20,B7)</f>
        <v>8</v>
      </c>
      <c r="O7" s="13" t="str">
        <f aca="false">IF(OR(J7="Partial",J7="No"),E7,"")</f>
        <v>Write and review all public content in plain language, test it with users, and follow the agency's Plain Language Act processes.</v>
      </c>
      <c r="P7" s="14" t="n">
        <f aca="false">IF(K7="",0,(1-K7)/SUMIFS($M$2:$M$20,$B$2:$B$20,B7)*INDEX('Scoring (simple)'!$C$18:$C$27,MATCH(B7,'Scoring (simple)'!$B$18:$B$27,0)))</f>
        <v>8</v>
      </c>
      <c r="Q7" s="14" t="n">
        <f aca="false">IF(P7&gt;0,P7+IF(AND(D7="Y",J7="No"),1000,0)+ROW()/100000,0)</f>
        <v>8.00007</v>
      </c>
      <c r="R7" s="31" t="str">
        <f aca="false">IF(INDEX(Criteria!$X$2:$X$97,MATCH($A7,Criteria!$A$2:$A$97,0))="",INDEX(Criteria!$W$2:$W$97,MATCH($A7,Criteria!$A$2:$A$97,0)),HYPERLINK(INDEX(Criteria!$X$2:$X$97,MATCH($A7,Criteria!$A$2:$A$97,0)),INDEX(Criteria!$W$2:$W$97,MATCH($A7,Criteria!$A$2:$A$97,0))))</f>
        <v>Plain Language Act 2022</v>
      </c>
    </row>
    <row r="8" customFormat="false" ht="35.05" hidden="false" customHeight="false" outlineLevel="0" collapsed="false">
      <c r="A8" s="10" t="s">
        <v>399</v>
      </c>
      <c r="B8" s="13" t="str">
        <f aca="false">INDEX(Criteria!$B$2:$B$97,MATCH($A8,Criteria!$A$2:$A$97,0))</f>
        <v>Brand and visual consistency</v>
      </c>
      <c r="C8" s="13" t="str">
        <f aca="false">INDEX(Criteria!$D$2:$D$97,MATCH($A8,Criteria!$A$2:$A$97,0))</f>
        <v>Does the service apply the organisation's brand guidelines - logos, font types, colour palette, iconography and styling?</v>
      </c>
      <c r="D8" s="30" t="str">
        <f aca="false">INDEX(Criteria!$H$2:$H$97,MATCH($A8,Criteria!$A$2:$A$97,0))</f>
        <v>N</v>
      </c>
      <c r="E8" s="13" t="str">
        <f aca="false">INDEX(Criteria!$I$2:$I$97,MATCH($A8,Criteria!$A$2:$A$97,0))</f>
        <v>Apply the organisation's brand guidelines, including font types, colour palette and styling, to minimise experience inconsistency across applications.</v>
      </c>
      <c r="F8" s="13" t="str">
        <f aca="false">INDEX(Criteria!$J$2:$J$97,MATCH($A8,Criteria!$A$2:$A$97,0))</f>
        <v>Organisation brand guidelines; OMB M-23-22 (branding pillar)</v>
      </c>
      <c r="G8" s="13" t="str">
        <f aca="false">INDEX(Criteria!$L$2:$L$97,MATCH($A8,Criteria!$A$2:$A$97,0))</f>
        <v>Good practice</v>
      </c>
      <c r="H8" s="13" t="str">
        <f aca="false">INDEX(Criteria!$M$2:$M$97,MATCH($A8,Criteria!$A$2:$A$97,0))</f>
        <v>All</v>
      </c>
      <c r="J8" s="11" t="s">
        <v>108</v>
      </c>
      <c r="K8" s="12" t="n">
        <f aca="false">IF(J8="Yes",'Scoring (simple)'!$C$6,IF(J8="Partial",'Scoring (simple)'!$C$7,IF(J8="No",'Scoring (simple)'!$C$8,"")))</f>
        <v>1</v>
      </c>
      <c r="L8" s="12" t="n">
        <f aca="false">IF(K8="",0,K8)</f>
        <v>1</v>
      </c>
      <c r="M8" s="13" t="n">
        <f aca="false">IF(K8="",0,1)</f>
        <v>1</v>
      </c>
      <c r="N8" s="12" t="n">
        <f aca="false">INDEX('Scoring (simple)'!$C$18:$C$27,MATCH(B8,'Scoring (simple)'!$B$18:$B$27,0))/COUNTIF($B$2:$B$20,B8)</f>
        <v>6</v>
      </c>
      <c r="O8" s="13" t="str">
        <f aca="false">IF(OR(J8="Partial",J8="No"),E8,"")</f>
        <v/>
      </c>
      <c r="P8" s="14" t="n">
        <f aca="false">IF(K8="",0,(1-K8)/SUMIFS($M$2:$M$20,$B$2:$B$20,B8)*INDEX('Scoring (simple)'!$C$18:$C$27,MATCH(B8,'Scoring (simple)'!$B$18:$B$27,0)))</f>
        <v>0</v>
      </c>
      <c r="Q8" s="14" t="n">
        <f aca="false">IF(P8&gt;0,P8+IF(AND(D8="Y",J8="No"),1000,0)+ROW()/100000,0)</f>
        <v>0</v>
      </c>
      <c r="R8" s="31" t="str">
        <f aca="false">IF(INDEX(Criteria!$X$2:$X$97,MATCH($A8,Criteria!$A$2:$A$97,0))="",INDEX(Criteria!$W$2:$W$97,MATCH($A8,Criteria!$A$2:$A$97,0)),HYPERLINK(INDEX(Criteria!$X$2:$X$97,MATCH($A8,Criteria!$A$2:$A$97,0)),INDEX(Criteria!$W$2:$W$97,MATCH($A8,Criteria!$A$2:$A$97,0))))</f>
        <v>Use your organisation's brand guidelines</v>
      </c>
    </row>
    <row r="9" customFormat="false" ht="35.05" hidden="false" customHeight="false" outlineLevel="0" collapsed="false">
      <c r="A9" s="10" t="s">
        <v>441</v>
      </c>
      <c r="B9" s="13" t="str">
        <f aca="false">INDEX(Criteria!$B$2:$B$97,MATCH($A9,Criteria!$A$2:$A$97,0))</f>
        <v>Security and privacy</v>
      </c>
      <c r="C9" s="13" t="str">
        <f aca="false">INDEX(Criteria!$D$2:$D$97,MATCH($A9,Criteria!$A$2:$A$97,0))</f>
        <v>Has the service completed a security risk assessment and certification and accreditation (C&amp;A) in line with the NZISM, and is it reviewed after significant change?</v>
      </c>
      <c r="D9" s="30" t="str">
        <f aca="false">INDEX(Criteria!$H$2:$H$97,MATCH($A9,Criteria!$A$2:$A$97,0))</f>
        <v>Y</v>
      </c>
      <c r="E9" s="13" t="str">
        <f aca="false">INDEX(Criteria!$I$2:$I$97,MATCH($A9,Criteria!$A$2:$A$97,0))</f>
        <v>Complete a security risk assessment and certification and accreditation before go-live, and refresh it after significant change or on a set cycle.</v>
      </c>
      <c r="F9" s="13" t="str">
        <f aca="false">INDEX(Criteria!$J$2:$J$97,MATCH($A9,Criteria!$A$2:$A$97,0))</f>
        <v>NZ Information Security Manual (NZISM); Protective Security Requirements</v>
      </c>
      <c r="G9" s="13" t="str">
        <f aca="false">INDEX(Criteria!$L$2:$L$97,MATCH($A9,Criteria!$A$2:$A$97,0))</f>
        <v>Mandatory (NZ)</v>
      </c>
      <c r="H9" s="13" t="str">
        <f aca="false">INDEX(Criteria!$M$2:$M$97,MATCH($A9,Criteria!$A$2:$A$97,0))</f>
        <v>All</v>
      </c>
      <c r="J9" s="11" t="s">
        <v>108</v>
      </c>
      <c r="K9" s="12" t="n">
        <f aca="false">IF(J9="Yes",'Scoring (simple)'!$C$6,IF(J9="Partial",'Scoring (simple)'!$C$7,IF(J9="No",'Scoring (simple)'!$C$8,"")))</f>
        <v>1</v>
      </c>
      <c r="L9" s="12" t="n">
        <f aca="false">IF(K9="",0,K9)</f>
        <v>1</v>
      </c>
      <c r="M9" s="13" t="n">
        <f aca="false">IF(K9="",0,1)</f>
        <v>1</v>
      </c>
      <c r="N9" s="12" t="n">
        <f aca="false">INDEX('Scoring (simple)'!$C$18:$C$27,MATCH(B9,'Scoring (simple)'!$B$18:$B$27,0))/COUNTIF($B$2:$B$20,B9)</f>
        <v>4.66666666666667</v>
      </c>
      <c r="O9" s="13" t="str">
        <f aca="false">IF(OR(J9="Partial",J9="No"),E9,"")</f>
        <v/>
      </c>
      <c r="P9" s="14" t="n">
        <f aca="false">IF(K9="",0,(1-K9)/SUMIFS($M$2:$M$20,$B$2:$B$20,B9)*INDEX('Scoring (simple)'!$C$18:$C$27,MATCH(B9,'Scoring (simple)'!$B$18:$B$27,0)))</f>
        <v>0</v>
      </c>
      <c r="Q9" s="14" t="n">
        <f aca="false">IF(P9&gt;0,P9+IF(AND(D9="Y",J9="No"),1000,0)+ROW()/100000,0)</f>
        <v>0</v>
      </c>
      <c r="R9" s="31" t="str">
        <f aca="false">IF(INDEX(Criteria!$X$2:$X$97,MATCH($A9,Criteria!$A$2:$A$97,0))="",INDEX(Criteria!$W$2:$W$97,MATCH($A9,Criteria!$A$2:$A$97,0)),HYPERLINK(INDEX(Criteria!$X$2:$X$97,MATCH($A9,Criteria!$A$2:$A$97,0)),INDEX(Criteria!$W$2:$W$97,MATCH($A9,Criteria!$A$2:$A$97,0))))</f>
        <v>NZ Information Security Manual</v>
      </c>
    </row>
    <row r="10" customFormat="false" ht="35.05" hidden="false" customHeight="false" outlineLevel="0" collapsed="false">
      <c r="A10" s="10" t="s">
        <v>452</v>
      </c>
      <c r="B10" s="13" t="str">
        <f aca="false">INDEX(Criteria!$B$2:$B$97,MATCH($A10,Criteria!$A$2:$A$97,0))</f>
        <v>Security and privacy</v>
      </c>
      <c r="C10" s="13" t="str">
        <f aca="false">INDEX(Criteria!$D$2:$D$97,MATCH($A10,Criteria!$A$2:$A$97,0))</f>
        <v>Has the application been verified against the OWASP Application Security Verification Standard at a level appropriate to its risk (Level 1 minimum, Level 2 if it handles personal information)?</v>
      </c>
      <c r="D10" s="30" t="str">
        <f aca="false">INDEX(Criteria!$H$2:$H$97,MATCH($A10,Criteria!$A$2:$A$97,0))</f>
        <v>N</v>
      </c>
      <c r="E10" s="13" t="str">
        <f aca="false">INDEX(Criteria!$I$2:$I$97,MATCH($A10,Criteria!$A$2:$A$97,0))</f>
        <v>Verify the application against OWASP ASVS 5.0 at the appropriate level and track gaps to remediation.</v>
      </c>
      <c r="F10" s="13" t="str">
        <f aca="false">INDEX(Criteria!$J$2:$J$97,MATCH($A10,Criteria!$A$2:$A$97,0))</f>
        <v>OWASP ASVS 5.0.0 (chapters V1-V17, at the level chosen)</v>
      </c>
      <c r="G10" s="13" t="str">
        <f aca="false">INDEX(Criteria!$L$2:$L$97,MATCH($A10,Criteria!$A$2:$A$97,0))</f>
        <v>Good practice</v>
      </c>
      <c r="H10" s="13" t="str">
        <f aca="false">INDEX(Criteria!$M$2:$M$97,MATCH($A10,Criteria!$A$2:$A$97,0))</f>
        <v>All</v>
      </c>
      <c r="J10" s="11" t="s">
        <v>129</v>
      </c>
      <c r="K10" s="12" t="n">
        <f aca="false">IF(J10="Yes",'Scoring (simple)'!$C$6,IF(J10="Partial",'Scoring (simple)'!$C$7,IF(J10="No",'Scoring (simple)'!$C$8,"")))</f>
        <v>0.5</v>
      </c>
      <c r="L10" s="12" t="n">
        <f aca="false">IF(K10="",0,K10)</f>
        <v>0.5</v>
      </c>
      <c r="M10" s="13" t="n">
        <f aca="false">IF(K10="",0,1)</f>
        <v>1</v>
      </c>
      <c r="N10" s="12" t="n">
        <f aca="false">INDEX('Scoring (simple)'!$C$18:$C$27,MATCH(B10,'Scoring (simple)'!$B$18:$B$27,0))/COUNTIF($B$2:$B$20,B10)</f>
        <v>4.66666666666667</v>
      </c>
      <c r="O10" s="13" t="str">
        <f aca="false">IF(OR(J10="Partial",J10="No"),E10,"")</f>
        <v>Verify the application against OWASP ASVS 5.0 at the appropriate level and track gaps to remediation.</v>
      </c>
      <c r="P10" s="14" t="n">
        <f aca="false">IF(K10="",0,(1-K10)/SUMIFS($M$2:$M$20,$B$2:$B$20,B10)*INDEX('Scoring (simple)'!$C$18:$C$27,MATCH(B10,'Scoring (simple)'!$B$18:$B$27,0)))</f>
        <v>2.33333333333333</v>
      </c>
      <c r="Q10" s="14" t="n">
        <f aca="false">IF(P10&gt;0,P10+IF(AND(D10="Y",J10="No"),1000,0)+ROW()/100000,0)</f>
        <v>2.33343333333333</v>
      </c>
      <c r="R10" s="31" t="str">
        <f aca="false">IF(INDEX(Criteria!$X$2:$X$97,MATCH($A10,Criteria!$A$2:$A$97,0))="",INDEX(Criteria!$W$2:$W$97,MATCH($A10,Criteria!$A$2:$A$97,0)),HYPERLINK(INDEX(Criteria!$X$2:$X$97,MATCH($A10,Criteria!$A$2:$A$97,0)),INDEX(Criteria!$W$2:$W$97,MATCH($A10,Criteria!$A$2:$A$97,0))))</f>
        <v>OWASP ASVS project page</v>
      </c>
    </row>
    <row r="11" customFormat="false" ht="35.05" hidden="false" customHeight="false" outlineLevel="0" collapsed="false">
      <c r="A11" s="10" t="s">
        <v>493</v>
      </c>
      <c r="B11" s="13" t="str">
        <f aca="false">INDEX(Criteria!$B$2:$B$97,MATCH($A11,Criteria!$A$2:$A$97,0))</f>
        <v>Security and privacy</v>
      </c>
      <c r="C11" s="13" t="str">
        <f aca="false">INDEX(Criteria!$D$2:$D$97,MATCH($A11,Criteria!$A$2:$A$97,0))</f>
        <v>Is a privacy statement available from every page, explaining what personal information is collected, why, who it's shared with, and how to access and correct it?</v>
      </c>
      <c r="D11" s="30" t="str">
        <f aca="false">INDEX(Criteria!$H$2:$H$97,MATCH($A11,Criteria!$A$2:$A$97,0))</f>
        <v>Y</v>
      </c>
      <c r="E11" s="13" t="str">
        <f aca="false">INDEX(Criteria!$I$2:$I$97,MATCH($A11,Criteria!$A$2:$A$97,0))</f>
        <v>Publish a clear privacy statement linked from every page that meets Privacy Act 2020 information privacy principle 3 and the Web Usability Standard.</v>
      </c>
      <c r="F11" s="13" t="str">
        <f aca="false">INDEX(Criteria!$J$2:$J$97,MATCH($A11,Criteria!$A$2:$A$97,0))</f>
        <v>Privacy Act 2020 IPP 3; Web Usability Standard 1.4 s2.5 (Privacy)</v>
      </c>
      <c r="G11" s="13" t="str">
        <f aca="false">INDEX(Criteria!$L$2:$L$97,MATCH($A11,Criteria!$A$2:$A$97,0))</f>
        <v>Mandatory (NZ)</v>
      </c>
      <c r="H11" s="13" t="str">
        <f aca="false">INDEX(Criteria!$M$2:$M$97,MATCH($A11,Criteria!$A$2:$A$97,0))</f>
        <v>All</v>
      </c>
      <c r="J11" s="11" t="s">
        <v>108</v>
      </c>
      <c r="K11" s="12" t="n">
        <f aca="false">IF(J11="Yes",'Scoring (simple)'!$C$6,IF(J11="Partial",'Scoring (simple)'!$C$7,IF(J11="No",'Scoring (simple)'!$C$8,"")))</f>
        <v>1</v>
      </c>
      <c r="L11" s="12" t="n">
        <f aca="false">IF(K11="",0,K11)</f>
        <v>1</v>
      </c>
      <c r="M11" s="13" t="n">
        <f aca="false">IF(K11="",0,1)</f>
        <v>1</v>
      </c>
      <c r="N11" s="12" t="n">
        <f aca="false">INDEX('Scoring (simple)'!$C$18:$C$27,MATCH(B11,'Scoring (simple)'!$B$18:$B$27,0))/COUNTIF($B$2:$B$20,B11)</f>
        <v>4.66666666666667</v>
      </c>
      <c r="O11" s="13" t="str">
        <f aca="false">IF(OR(J11="Partial",J11="No"),E11,"")</f>
        <v/>
      </c>
      <c r="P11" s="14" t="n">
        <f aca="false">IF(K11="",0,(1-K11)/SUMIFS($M$2:$M$20,$B$2:$B$20,B11)*INDEX('Scoring (simple)'!$C$18:$C$27,MATCH(B11,'Scoring (simple)'!$B$18:$B$27,0)))</f>
        <v>0</v>
      </c>
      <c r="Q11" s="14" t="n">
        <f aca="false">IF(P11&gt;0,P11+IF(AND(D11="Y",J11="No"),1000,0)+ROW()/100000,0)</f>
        <v>0</v>
      </c>
      <c r="R11" s="31" t="str">
        <f aca="false">IF(INDEX(Criteria!$X$2:$X$97,MATCH($A11,Criteria!$A$2:$A$97,0))="",INDEX(Criteria!$W$2:$W$97,MATCH($A11,Criteria!$A$2:$A$97,0)),HYPERLINK(INDEX(Criteria!$X$2:$X$97,MATCH($A11,Criteria!$A$2:$A$97,0)),INDEX(Criteria!$W$2:$W$97,MATCH($A11,Criteria!$A$2:$A$97,0))))</f>
        <v>NZ Web Usability Standard 1.4</v>
      </c>
    </row>
    <row r="12" customFormat="false" ht="35.05" hidden="false" customHeight="false" outlineLevel="0" collapsed="false">
      <c r="A12" s="10" t="s">
        <v>527</v>
      </c>
      <c r="B12" s="13" t="str">
        <f aca="false">INDEX(Criteria!$B$2:$B$97,MATCH($A12,Criteria!$A$2:$A$97,0))</f>
        <v>Reliability, observability and service levels</v>
      </c>
      <c r="C12" s="13" t="str">
        <f aca="false">INDEX(Criteria!$D$2:$D$97,MATCH($A12,Criteria!$A$2:$A$97,0))</f>
        <v>Are availability and performance targets (service levels or SLOs) defined for the service and agreed with the business owner?</v>
      </c>
      <c r="D12" s="30" t="str">
        <f aca="false">INDEX(Criteria!$H$2:$H$97,MATCH($A12,Criteria!$A$2:$A$97,0))</f>
        <v>N</v>
      </c>
      <c r="E12" s="13" t="str">
        <f aca="false">INDEX(Criteria!$I$2:$I$97,MATCH($A12,Criteria!$A$2:$A$97,0))</f>
        <v>Define and agree availability, response time and support targets that reflect how critical the service is to users, and measure against them.</v>
      </c>
      <c r="F12" s="13" t="str">
        <f aca="false">INDEX(Criteria!$J$2:$J$97,MATCH($A12,Criteria!$A$2:$A$97,0))</f>
        <v>AU Digital Performance Standard criterion 2; GOV.UK Service Standard point 14</v>
      </c>
      <c r="G12" s="13" t="str">
        <f aca="false">INDEX(Criteria!$L$2:$L$97,MATCH($A12,Criteria!$A$2:$A$97,0))</f>
        <v>Good practice</v>
      </c>
      <c r="H12" s="13" t="str">
        <f aca="false">INDEX(Criteria!$M$2:$M$97,MATCH($A12,Criteria!$A$2:$A$97,0))</f>
        <v>All</v>
      </c>
      <c r="J12" s="11" t="s">
        <v>300</v>
      </c>
      <c r="K12" s="12" t="n">
        <f aca="false">IF(J12="Yes",'Scoring (simple)'!$C$6,IF(J12="Partial",'Scoring (simple)'!$C$7,IF(J12="No",'Scoring (simple)'!$C$8,"")))</f>
        <v>0</v>
      </c>
      <c r="L12" s="12" t="n">
        <f aca="false">IF(K12="",0,K12)</f>
        <v>0</v>
      </c>
      <c r="M12" s="13" t="n">
        <f aca="false">IF(K12="",0,1)</f>
        <v>1</v>
      </c>
      <c r="N12" s="12" t="n">
        <f aca="false">INDEX('Scoring (simple)'!$C$18:$C$27,MATCH(B12,'Scoring (simple)'!$B$18:$B$27,0))/COUNTIF($B$2:$B$20,B12)</f>
        <v>4.33333333333333</v>
      </c>
      <c r="O12" s="13" t="str">
        <f aca="false">IF(OR(J12="Partial",J12="No"),E12,"")</f>
        <v>Define and agree availability, response time and support targets that reflect how critical the service is to users, and measure against them.</v>
      </c>
      <c r="P12" s="14" t="n">
        <f aca="false">IF(K12="",0,(1-K12)/SUMIFS($M$2:$M$20,$B$2:$B$20,B12)*INDEX('Scoring (simple)'!$C$18:$C$27,MATCH(B12,'Scoring (simple)'!$B$18:$B$27,0)))</f>
        <v>4.33333333333333</v>
      </c>
      <c r="Q12" s="14" t="n">
        <f aca="false">IF(P12&gt;0,P12+IF(AND(D12="Y",J12="No"),1000,0)+ROW()/100000,0)</f>
        <v>4.33345333333333</v>
      </c>
      <c r="R12" s="31" t="str">
        <f aca="false">IF(INDEX(Criteria!$X$2:$X$97,MATCH($A12,Criteria!$A$2:$A$97,0))="",INDEX(Criteria!$W$2:$W$97,MATCH($A12,Criteria!$A$2:$A$97,0)),HYPERLINK(INDEX(Criteria!$X$2:$X$97,MATCH($A12,Criteria!$A$2:$A$97,0)),INDEX(Criteria!$W$2:$W$97,MATCH($A12,Criteria!$A$2:$A$97,0))))</f>
        <v>AU guide: measuring service availability</v>
      </c>
    </row>
    <row r="13" customFormat="false" ht="23.85" hidden="false" customHeight="false" outlineLevel="0" collapsed="false">
      <c r="A13" s="10" t="s">
        <v>537</v>
      </c>
      <c r="B13" s="13" t="str">
        <f aca="false">INDEX(Criteria!$B$2:$B$97,MATCH($A13,Criteria!$A$2:$A$97,0))</f>
        <v>Reliability, observability and service levels</v>
      </c>
      <c r="C13" s="13" t="str">
        <f aca="false">INDEX(Criteria!$D$2:$D$97,MATCH($A13,Criteria!$A$2:$A$97,0))</f>
        <v>Is there proactive monitoring and alerting (for example synthetic checks of key user journeys) so the team learns of problems before users report them?</v>
      </c>
      <c r="D13" s="30" t="str">
        <f aca="false">INDEX(Criteria!$H$2:$H$97,MATCH($A13,Criteria!$A$2:$A$97,0))</f>
        <v>N</v>
      </c>
      <c r="E13" s="13" t="str">
        <f aca="false">INDEX(Criteria!$I$2:$I$97,MATCH($A13,Criteria!$A$2:$A$97,0))</f>
        <v>Deploy proactive monitoring and alerting to minimise issue triage and resolution time following service degradation or outage.</v>
      </c>
      <c r="F13" s="13" t="str">
        <f aca="false">INDEX(Criteria!$J$2:$J$97,MATCH($A13,Criteria!$A$2:$A$97,0))</f>
        <v>AU Digital Performance Standard criteria 1 and 2</v>
      </c>
      <c r="G13" s="13" t="str">
        <f aca="false">INDEX(Criteria!$L$2:$L$97,MATCH($A13,Criteria!$A$2:$A$97,0))</f>
        <v>Good practice</v>
      </c>
      <c r="H13" s="13" t="str">
        <f aca="false">INDEX(Criteria!$M$2:$M$97,MATCH($A13,Criteria!$A$2:$A$97,0))</f>
        <v>All</v>
      </c>
      <c r="J13" s="11" t="s">
        <v>108</v>
      </c>
      <c r="K13" s="12" t="n">
        <f aca="false">IF(J13="Yes",'Scoring (simple)'!$C$6,IF(J13="Partial",'Scoring (simple)'!$C$7,IF(J13="No",'Scoring (simple)'!$C$8,"")))</f>
        <v>1</v>
      </c>
      <c r="L13" s="12" t="n">
        <f aca="false">IF(K13="",0,K13)</f>
        <v>1</v>
      </c>
      <c r="M13" s="13" t="n">
        <f aca="false">IF(K13="",0,1)</f>
        <v>1</v>
      </c>
      <c r="N13" s="12" t="n">
        <f aca="false">INDEX('Scoring (simple)'!$C$18:$C$27,MATCH(B13,'Scoring (simple)'!$B$18:$B$27,0))/COUNTIF($B$2:$B$20,B13)</f>
        <v>4.33333333333333</v>
      </c>
      <c r="O13" s="13" t="str">
        <f aca="false">IF(OR(J13="Partial",J13="No"),E13,"")</f>
        <v/>
      </c>
      <c r="P13" s="14" t="n">
        <f aca="false">IF(K13="",0,(1-K13)/SUMIFS($M$2:$M$20,$B$2:$B$20,B13)*INDEX('Scoring (simple)'!$C$18:$C$27,MATCH(B13,'Scoring (simple)'!$B$18:$B$27,0)))</f>
        <v>0</v>
      </c>
      <c r="Q13" s="14" t="n">
        <f aca="false">IF(P13&gt;0,P13+IF(AND(D13="Y",J13="No"),1000,0)+ROW()/100000,0)</f>
        <v>0</v>
      </c>
      <c r="R13" s="31" t="str">
        <f aca="false">IF(INDEX(Criteria!$X$2:$X$97,MATCH($A13,Criteria!$A$2:$A$97,0))="",INDEX(Criteria!$W$2:$W$97,MATCH($A13,Criteria!$A$2:$A$97,0)),HYPERLINK(INDEX(Criteria!$X$2:$X$97,MATCH($A13,Criteria!$A$2:$A$97,0)),INDEX(Criteria!$W$2:$W$97,MATCH($A13,Criteria!$A$2:$A$97,0))))</f>
        <v>AU guide: service monitoring framework</v>
      </c>
    </row>
    <row r="14" customFormat="false" ht="35.05" hidden="false" customHeight="false" outlineLevel="0" collapsed="false">
      <c r="A14" s="10" t="s">
        <v>554</v>
      </c>
      <c r="B14" s="13" t="str">
        <f aca="false">INDEX(Criteria!$B$2:$B$97,MATCH($A14,Criteria!$A$2:$A$97,0))</f>
        <v>Reliability, observability and service levels</v>
      </c>
      <c r="C14" s="13" t="str">
        <f aca="false">INDEX(Criteria!$D$2:$D$97,MATCH($A14,Criteria!$A$2:$A$97,0))</f>
        <v>Is there an incident management process with severity levels, response and resolution targets, escalation paths and named owners?</v>
      </c>
      <c r="D14" s="30" t="str">
        <f aca="false">INDEX(Criteria!$H$2:$H$97,MATCH($A14,Criteria!$A$2:$A$97,0))</f>
        <v>Y</v>
      </c>
      <c r="E14" s="13" t="str">
        <f aca="false">INDEX(Criteria!$I$2:$I$97,MATCH($A14,Criteria!$A$2:$A$97,0))</f>
        <v>Establish an incident management process with severity definitions, response and resolution targets, and clear escalation, and report performance against it.</v>
      </c>
      <c r="F14" s="13" t="str">
        <f aca="false">INDEX(Criteria!$J$2:$J$97,MATCH($A14,Criteria!$A$2:$A$97,0))</f>
        <v>ITIL incident management; GOV.UK Service Standard point 14</v>
      </c>
      <c r="G14" s="13" t="str">
        <f aca="false">INDEX(Criteria!$L$2:$L$97,MATCH($A14,Criteria!$A$2:$A$97,0))</f>
        <v>Good practice</v>
      </c>
      <c r="H14" s="13" t="str">
        <f aca="false">INDEX(Criteria!$M$2:$M$97,MATCH($A14,Criteria!$A$2:$A$97,0))</f>
        <v>All</v>
      </c>
      <c r="J14" s="11" t="s">
        <v>129</v>
      </c>
      <c r="K14" s="12" t="n">
        <f aca="false">IF(J14="Yes",'Scoring (simple)'!$C$6,IF(J14="Partial",'Scoring (simple)'!$C$7,IF(J14="No",'Scoring (simple)'!$C$8,"")))</f>
        <v>0.5</v>
      </c>
      <c r="L14" s="12" t="n">
        <f aca="false">IF(K14="",0,K14)</f>
        <v>0.5</v>
      </c>
      <c r="M14" s="13" t="n">
        <f aca="false">IF(K14="",0,1)</f>
        <v>1</v>
      </c>
      <c r="N14" s="12" t="n">
        <f aca="false">INDEX('Scoring (simple)'!$C$18:$C$27,MATCH(B14,'Scoring (simple)'!$B$18:$B$27,0))/COUNTIF($B$2:$B$20,B14)</f>
        <v>4.33333333333333</v>
      </c>
      <c r="O14" s="13" t="str">
        <f aca="false">IF(OR(J14="Partial",J14="No"),E14,"")</f>
        <v>Establish an incident management process with severity definitions, response and resolution targets, and clear escalation, and report performance against it.</v>
      </c>
      <c r="P14" s="14" t="n">
        <f aca="false">IF(K14="",0,(1-K14)/SUMIFS($M$2:$M$20,$B$2:$B$20,B14)*INDEX('Scoring (simple)'!$C$18:$C$27,MATCH(B14,'Scoring (simple)'!$B$18:$B$27,0)))</f>
        <v>2.16666666666667</v>
      </c>
      <c r="Q14" s="14" t="n">
        <f aca="false">IF(P14&gt;0,P14+IF(AND(D14="Y",J14="No"),1000,0)+ROW()/100000,0)</f>
        <v>2.16680666666667</v>
      </c>
      <c r="R14" s="31" t="str">
        <f aca="false">IF(INDEX(Criteria!$X$2:$X$97,MATCH($A14,Criteria!$A$2:$A$97,0))="",INDEX(Criteria!$W$2:$W$97,MATCH($A14,Criteria!$A$2:$A$97,0)),HYPERLINK(INDEX(Criteria!$X$2:$X$97,MATCH($A14,Criteria!$A$2:$A$97,0)),INDEX(Criteria!$W$2:$W$97,MATCH($A14,Criteria!$A$2:$A$97,0))))</f>
        <v>GOV.UK: operate a reliable service</v>
      </c>
    </row>
    <row r="15" customFormat="false" ht="23.85" hidden="false" customHeight="false" outlineLevel="0" collapsed="false">
      <c r="A15" s="10" t="s">
        <v>609</v>
      </c>
      <c r="B15" s="13" t="str">
        <f aca="false">INDEX(Criteria!$B$2:$B$97,MATCH($A15,Criteria!$A$2:$A$97,0))</f>
        <v>Support and contact channels</v>
      </c>
      <c r="C15" s="13" t="str">
        <f aca="false">INDEX(Criteria!$D$2:$D$97,MATCH($A15,Criteria!$A$2:$A$97,0))</f>
        <v>Is a contact page linked from the home page that includes non-digital channels (such as phone and postal address) and information for NZ Relay users?</v>
      </c>
      <c r="D15" s="30" t="str">
        <f aca="false">INDEX(Criteria!$H$2:$H$97,MATCH($A15,Criteria!$A$2:$A$97,0))</f>
        <v>Y</v>
      </c>
      <c r="E15" s="13" t="str">
        <f aca="false">INDEX(Criteria!$I$2:$I$97,MATCH($A15,Criteria!$A$2:$A$97,0))</f>
        <v>Provide a contact page linked from the home page with digital and non-digital contact options, including NZ Relay information.</v>
      </c>
      <c r="F15" s="13" t="str">
        <f aca="false">INDEX(Criteria!$J$2:$J$97,MATCH($A15,Criteria!$A$2:$A$97,0))</f>
        <v>Web Usability Standard 1.4 s2.3 (Contact information; NZ Relay link at s2.3.3)</v>
      </c>
      <c r="G15" s="13" t="str">
        <f aca="false">INDEX(Criteria!$L$2:$L$97,MATCH($A15,Criteria!$A$2:$A$97,0))</f>
        <v>Mandatory (NZ)</v>
      </c>
      <c r="H15" s="13" t="str">
        <f aca="false">INDEX(Criteria!$M$2:$M$97,MATCH($A15,Criteria!$A$2:$A$97,0))</f>
        <v>Public-facing</v>
      </c>
      <c r="J15" s="11" t="s">
        <v>108</v>
      </c>
      <c r="K15" s="12" t="n">
        <f aca="false">IF(J15="Yes",'Scoring (simple)'!$C$6,IF(J15="Partial",'Scoring (simple)'!$C$7,IF(J15="No",'Scoring (simple)'!$C$8,"")))</f>
        <v>1</v>
      </c>
      <c r="L15" s="12" t="n">
        <f aca="false">IF(K15="",0,K15)</f>
        <v>1</v>
      </c>
      <c r="M15" s="13" t="n">
        <f aca="false">IF(K15="",0,1)</f>
        <v>1</v>
      </c>
      <c r="N15" s="12" t="n">
        <f aca="false">INDEX('Scoring (simple)'!$C$18:$C$27,MATCH(B15,'Scoring (simple)'!$B$18:$B$27,0))/COUNTIF($B$2:$B$20,B15)</f>
        <v>8</v>
      </c>
      <c r="O15" s="13" t="str">
        <f aca="false">IF(OR(J15="Partial",J15="No"),E15,"")</f>
        <v/>
      </c>
      <c r="P15" s="14" t="n">
        <f aca="false">IF(K15="",0,(1-K15)/SUMIFS($M$2:$M$20,$B$2:$B$20,B15)*INDEX('Scoring (simple)'!$C$18:$C$27,MATCH(B15,'Scoring (simple)'!$B$18:$B$27,0)))</f>
        <v>0</v>
      </c>
      <c r="Q15" s="14" t="n">
        <f aca="false">IF(P15&gt;0,P15+IF(AND(D15="Y",J15="No"),1000,0)+ROW()/100000,0)</f>
        <v>0</v>
      </c>
      <c r="R15" s="31" t="str">
        <f aca="false">IF(INDEX(Criteria!$X$2:$X$97,MATCH($A15,Criteria!$A$2:$A$97,0))="",INDEX(Criteria!$W$2:$W$97,MATCH($A15,Criteria!$A$2:$A$97,0)),HYPERLINK(INDEX(Criteria!$X$2:$X$97,MATCH($A15,Criteria!$A$2:$A$97,0)),INDEX(Criteria!$W$2:$W$97,MATCH($A15,Criteria!$A$2:$A$97,0))))</f>
        <v>NZ Web Usability Standard 1.4</v>
      </c>
    </row>
    <row r="16" customFormat="false" ht="68.65" hidden="false" customHeight="false" outlineLevel="0" collapsed="false">
      <c r="A16" s="10" t="s">
        <v>725</v>
      </c>
      <c r="B16" s="13" t="str">
        <f aca="false">INDEX(Criteria!$B$2:$B$97,MATCH($A16,Criteria!$A$2:$A$97,0))</f>
        <v>Legal and regulatory</v>
      </c>
      <c r="C16" s="13" t="str">
        <f aca="false">INDEX(Criteria!$D$2:$D$97,MATCH($A16,Criteria!$A$2:$A$97,0))</f>
        <v>Has the service identified the legislation it is subject to - including service-specific legislation such as the Planning Act and Natural Environment Act where relevant - and confirmed it meets the relevant provisions, including equal access, legal basis, public records and information access?</v>
      </c>
      <c r="D16" s="30" t="str">
        <f aca="false">INDEX(Criteria!$H$2:$H$97,MATCH($A16,Criteria!$A$2:$A$97,0))</f>
        <v>N</v>
      </c>
      <c r="E16" s="13" t="str">
        <f aca="false">INDEX(Criteria!$I$2:$I$97,MATCH($A16,Criteria!$A$2:$A$97,0))</f>
        <v>Create and maintain a register of the legislation the service is subject to - including service-specific Acts such as the Planning Act and Natural Environment Act, and cross-cutting obligations on equal access, legal basis, public records and information access - have it reviewed by legal advisors, and re-check it when legislation or the service changes.</v>
      </c>
      <c r="F16" s="13" t="str">
        <f aca="false">INDEX(Criteria!$J$2:$J$97,MATCH($A16,Criteria!$A$2:$A$97,0))</f>
        <v>Planning Act; Natural Environment Act; Human Rights Act 1993; NZ Bill of Rights Act 1990; Public Records Act 2005; Official Information Act 1982; Privacy Act 2020</v>
      </c>
      <c r="G16" s="13" t="str">
        <f aca="false">INDEX(Criteria!$L$2:$L$97,MATCH($A16,Criteria!$A$2:$A$97,0))</f>
        <v>Mandatory (NZ)</v>
      </c>
      <c r="H16" s="13" t="str">
        <f aca="false">INDEX(Criteria!$M$2:$M$97,MATCH($A16,Criteria!$A$2:$A$97,0))</f>
        <v>All</v>
      </c>
      <c r="J16" s="11" t="s">
        <v>129</v>
      </c>
      <c r="K16" s="12" t="n">
        <f aca="false">IF(J16="Yes",'Scoring (simple)'!$C$6,IF(J16="Partial",'Scoring (simple)'!$C$7,IF(J16="No",'Scoring (simple)'!$C$8,"")))</f>
        <v>0.5</v>
      </c>
      <c r="L16" s="12" t="n">
        <f aca="false">IF(K16="",0,K16)</f>
        <v>0.5</v>
      </c>
      <c r="M16" s="13" t="n">
        <f aca="false">IF(K16="",0,1)</f>
        <v>1</v>
      </c>
      <c r="N16" s="12" t="n">
        <f aca="false">INDEX('Scoring (simple)'!$C$18:$C$27,MATCH(B16,'Scoring (simple)'!$B$18:$B$27,0))/COUNTIF($B$2:$B$20,B16)</f>
        <v>6</v>
      </c>
      <c r="O16" s="13" t="str">
        <f aca="false">IF(OR(J16="Partial",J16="No"),E16,"")</f>
        <v>Create and maintain a register of the legislation the service is subject to - including service-specific Acts such as the Planning Act and Natural Environment Act, and cross-cutting obligations on equal access, legal basis, public records and information access - have it reviewed by legal advisors, and re-check it when legislation or the service changes.</v>
      </c>
      <c r="P16" s="14" t="n">
        <f aca="false">IF(K16="",0,(1-K16)/SUMIFS($M$2:$M$20,$B$2:$B$20,B16)*INDEX('Scoring (simple)'!$C$18:$C$27,MATCH(B16,'Scoring (simple)'!$B$18:$B$27,0)))</f>
        <v>3</v>
      </c>
      <c r="Q16" s="14" t="n">
        <f aca="false">IF(P16&gt;0,P16+IF(AND(D16="Y",J16="No"),1000,0)+ROW()/100000,0)</f>
        <v>3.00016</v>
      </c>
      <c r="R16" s="31" t="str">
        <f aca="false">IF(INDEX(Criteria!$X$2:$X$97,MATCH($A16,Criteria!$A$2:$A$97,0))="",INDEX(Criteria!$W$2:$W$97,MATCH($A16,Criteria!$A$2:$A$97,0)),HYPERLINK(INDEX(Criteria!$X$2:$X$97,MATCH($A16,Criteria!$A$2:$A$97,0)),INDEX(Criteria!$W$2:$W$97,MATCH($A16,Criteria!$A$2:$A$97,0))))</f>
        <v>Planning and Natural Environment Acts overview</v>
      </c>
    </row>
    <row r="17" customFormat="false" ht="35.05" hidden="false" customHeight="false" outlineLevel="0" collapsed="false">
      <c r="A17" s="10" t="s">
        <v>776</v>
      </c>
      <c r="B17" s="13" t="str">
        <f aca="false">INDEX(Criteria!$B$2:$B$97,MATCH($A17,Criteria!$A$2:$A$97,0))</f>
        <v>Content management and governance</v>
      </c>
      <c r="C17" s="13" t="str">
        <f aca="false">INDEX(Criteria!$D$2:$D$97,MATCH($A17,Criteria!$A$2:$A$97,0))</f>
        <v>Is there an agreed content management approach for the service - named content owners, a review schedule, a publishing workflow with approval, and accessible authoring - and is it being followed?</v>
      </c>
      <c r="D17" s="30" t="str">
        <f aca="false">INDEX(Criteria!$H$2:$H$97,MATCH($A17,Criteria!$A$2:$A$97,0))</f>
        <v>N</v>
      </c>
      <c r="E17" s="13" t="str">
        <f aca="false">INDEX(Criteria!$I$2:$I$97,MATCH($A17,Criteria!$A$2:$A$97,0))</f>
        <v>Put in place and follow a content management approach with named owners, scheduled reviews, an approval workflow and accessible authoring, so content stays accurate, current and consistent.</v>
      </c>
      <c r="F17" s="13" t="str">
        <f aca="false">INDEX(Criteria!$J$2:$J$97,MATCH($A17,Criteria!$A$2:$A$97,0))</f>
        <v>OMB M-23-22 (content pillar); W3C ATAG 2.0; good practice</v>
      </c>
      <c r="G17" s="13" t="str">
        <f aca="false">INDEX(Criteria!$L$2:$L$97,MATCH($A17,Criteria!$A$2:$A$97,0))</f>
        <v>Good practice</v>
      </c>
      <c r="H17" s="13" t="str">
        <f aca="false">INDEX(Criteria!$M$2:$M$97,MATCH($A17,Criteria!$A$2:$A$97,0))</f>
        <v>All</v>
      </c>
      <c r="J17" s="11" t="s">
        <v>108</v>
      </c>
      <c r="K17" s="12" t="n">
        <f aca="false">IF(J17="Yes",'Scoring (simple)'!$C$6,IF(J17="Partial",'Scoring (simple)'!$C$7,IF(J17="No",'Scoring (simple)'!$C$8,"")))</f>
        <v>1</v>
      </c>
      <c r="L17" s="12" t="n">
        <f aca="false">IF(K17="",0,K17)</f>
        <v>1</v>
      </c>
      <c r="M17" s="13" t="n">
        <f aca="false">IF(K17="",0,1)</f>
        <v>1</v>
      </c>
      <c r="N17" s="12" t="n">
        <f aca="false">INDEX('Scoring (simple)'!$C$18:$C$27,MATCH(B17,'Scoring (simple)'!$B$18:$B$27,0))/COUNTIF($B$2:$B$20,B17)</f>
        <v>2.5</v>
      </c>
      <c r="O17" s="13" t="str">
        <f aca="false">IF(OR(J17="Partial",J17="No"),E17,"")</f>
        <v/>
      </c>
      <c r="P17" s="14" t="n">
        <f aca="false">IF(K17="",0,(1-K17)/SUMIFS($M$2:$M$20,$B$2:$B$20,B17)*INDEX('Scoring (simple)'!$C$18:$C$27,MATCH(B17,'Scoring (simple)'!$B$18:$B$27,0)))</f>
        <v>0</v>
      </c>
      <c r="Q17" s="14" t="n">
        <f aca="false">IF(P17&gt;0,P17+IF(AND(D17="Y",J17="No"),1000,0)+ROW()/100000,0)</f>
        <v>0</v>
      </c>
      <c r="R17" s="31" t="str">
        <f aca="false">IF(INDEX(Criteria!$X$2:$X$97,MATCH($A17,Criteria!$A$2:$A$97,0))="",INDEX(Criteria!$W$2:$W$97,MATCH($A17,Criteria!$A$2:$A$97,0)),HYPERLINK(INDEX(Criteria!$X$2:$X$97,MATCH($A17,Criteria!$A$2:$A$97,0)),INDEX(Criteria!$W$2:$W$97,MATCH($A17,Criteria!$A$2:$A$97,0))))</f>
        <v>US digital-first experience memo</v>
      </c>
    </row>
    <row r="18" customFormat="false" ht="35.05" hidden="false" customHeight="false" outlineLevel="0" collapsed="false">
      <c r="A18" s="10" t="s">
        <v>783</v>
      </c>
      <c r="B18" s="13" t="str">
        <f aca="false">INDEX(Criteria!$B$2:$B$97,MATCH($A18,Criteria!$A$2:$A$97,0))</f>
        <v>Content management and governance</v>
      </c>
      <c r="C18" s="13" t="str">
        <f aca="false">INDEX(Criteria!$D$2:$D$97,MATCH($A18,Criteria!$A$2:$A$97,0))</f>
        <v>Does the service have clear governance - a named service owner, defined decision rights, a regular forum that reviews performance, risks and the improvement roadmap, and funding for ongoing maintenance?</v>
      </c>
      <c r="D18" s="30" t="str">
        <f aca="false">INDEX(Criteria!$H$2:$H$97,MATCH($A18,Criteria!$A$2:$A$97,0))</f>
        <v>N</v>
      </c>
      <c r="E18" s="13" t="str">
        <f aca="false">INDEX(Criteria!$I$2:$I$97,MATCH($A18,Criteria!$A$2:$A$97,0))</f>
        <v>Establish governance for the service with a named owner, clear decision rights, a regular review of performance, risks and roadmap, and ongoing funding for maintenance and improvement.</v>
      </c>
      <c r="F18" s="13" t="str">
        <f aca="false">INDEX(Criteria!$J$2:$J$97,MATCH($A18,Criteria!$A$2:$A$97,0))</f>
        <v>GOV.UK Service Standard point 6; Digital Service Design Standard; AU Digital Service Standard 2.0 criterion 10 (keep it relevant)</v>
      </c>
      <c r="G18" s="13" t="str">
        <f aca="false">INDEX(Criteria!$L$2:$L$97,MATCH($A18,Criteria!$A$2:$A$97,0))</f>
        <v>Recommended (NZ)</v>
      </c>
      <c r="H18" s="13" t="str">
        <f aca="false">INDEX(Criteria!$M$2:$M$97,MATCH($A18,Criteria!$A$2:$A$97,0))</f>
        <v>All</v>
      </c>
      <c r="J18" s="11" t="s">
        <v>108</v>
      </c>
      <c r="K18" s="12" t="n">
        <f aca="false">IF(J18="Yes",'Scoring (simple)'!$C$6,IF(J18="Partial",'Scoring (simple)'!$C$7,IF(J18="No",'Scoring (simple)'!$C$8,"")))</f>
        <v>1</v>
      </c>
      <c r="L18" s="12" t="n">
        <f aca="false">IF(K18="",0,K18)</f>
        <v>1</v>
      </c>
      <c r="M18" s="13" t="n">
        <f aca="false">IF(K18="",0,1)</f>
        <v>1</v>
      </c>
      <c r="N18" s="12" t="n">
        <f aca="false">INDEX('Scoring (simple)'!$C$18:$C$27,MATCH(B18,'Scoring (simple)'!$B$18:$B$27,0))/COUNTIF($B$2:$B$20,B18)</f>
        <v>2.5</v>
      </c>
      <c r="O18" s="13" t="str">
        <f aca="false">IF(OR(J18="Partial",J18="No"),E18,"")</f>
        <v/>
      </c>
      <c r="P18" s="14" t="n">
        <f aca="false">IF(K18="",0,(1-K18)/SUMIFS($M$2:$M$20,$B$2:$B$20,B18)*INDEX('Scoring (simple)'!$C$18:$C$27,MATCH(B18,'Scoring (simple)'!$B$18:$B$27,0)))</f>
        <v>0</v>
      </c>
      <c r="Q18" s="14" t="n">
        <f aca="false">IF(P18&gt;0,P18+IF(AND(D18="Y",J18="No"),1000,0)+ROW()/100000,0)</f>
        <v>0</v>
      </c>
      <c r="R18" s="31" t="str">
        <f aca="false">IF(INDEX(Criteria!$X$2:$X$97,MATCH($A18,Criteria!$A$2:$A$97,0))="",INDEX(Criteria!$W$2:$W$97,MATCH($A18,Criteria!$A$2:$A$97,0)),HYPERLINK(INDEX(Criteria!$X$2:$X$97,MATCH($A18,Criteria!$A$2:$A$97,0)),INDEX(Criteria!$W$2:$W$97,MATCH($A18,Criteria!$A$2:$A$97,0))))</f>
        <v>GOV.UK: have a multidisciplinary team</v>
      </c>
    </row>
    <row r="19" customFormat="false" ht="46.25" hidden="false" customHeight="false" outlineLevel="0" collapsed="false">
      <c r="A19" s="10" t="s">
        <v>825</v>
      </c>
      <c r="B19" s="13" t="str">
        <f aca="false">INDEX(Criteria!$B$2:$B$97,MATCH($A19,Criteria!$A$2:$A$97,0))</f>
        <v>Measurement and continuous improvement</v>
      </c>
      <c r="C19" s="13" t="str">
        <f aca="false">INDEX(Criteria!$D$2:$D$97,MATCH($A19,Criteria!$A$2:$A$97,0))</f>
        <v>Is the service's performance measured against agreed indicators - for example availability, task completion, user satisfaction, and open accessibility and usability issues - with results reported to the service owner at least quarterly?</v>
      </c>
      <c r="D19" s="30" t="str">
        <f aca="false">INDEX(Criteria!$H$2:$H$97,MATCH($A19,Criteria!$A$2:$A$97,0))</f>
        <v>N</v>
      </c>
      <c r="E19" s="13" t="str">
        <f aca="false">INDEX(Criteria!$I$2:$I$97,MATCH($A19,Criteria!$A$2:$A$97,0))</f>
        <v>Agree a small set of performance indicators covering availability, task completion, satisfaction and open accessibility and usability issues, and report them to the service owner at least quarterly.</v>
      </c>
      <c r="F19" s="13" t="str">
        <f aca="false">INDEX(Criteria!$J$2:$J$97,MATCH($A19,Criteria!$A$2:$A$97,0))</f>
        <v>AU Digital Performance Standard criteria 1-5; GOV.UK Service Standard point 10</v>
      </c>
      <c r="G19" s="13" t="str">
        <f aca="false">INDEX(Criteria!$L$2:$L$97,MATCH($A19,Criteria!$A$2:$A$97,0))</f>
        <v>Good practice</v>
      </c>
      <c r="H19" s="13" t="str">
        <f aca="false">INDEX(Criteria!$M$2:$M$97,MATCH($A19,Criteria!$A$2:$A$97,0))</f>
        <v>All</v>
      </c>
      <c r="J19" s="11" t="s">
        <v>129</v>
      </c>
      <c r="K19" s="12" t="n">
        <f aca="false">IF(J19="Yes",'Scoring (simple)'!$C$6,IF(J19="Partial",'Scoring (simple)'!$C$7,IF(J19="No",'Scoring (simple)'!$C$8,"")))</f>
        <v>0.5</v>
      </c>
      <c r="L19" s="12" t="n">
        <f aca="false">IF(K19="",0,K19)</f>
        <v>0.5</v>
      </c>
      <c r="M19" s="13" t="n">
        <f aca="false">IF(K19="",0,1)</f>
        <v>1</v>
      </c>
      <c r="N19" s="12" t="n">
        <f aca="false">INDEX('Scoring (simple)'!$C$18:$C$27,MATCH(B19,'Scoring (simple)'!$B$18:$B$27,0))/COUNTIF($B$2:$B$20,B19)</f>
        <v>2.5</v>
      </c>
      <c r="O19" s="13" t="str">
        <f aca="false">IF(OR(J19="Partial",J19="No"),E19,"")</f>
        <v>Agree a small set of performance indicators covering availability, task completion, satisfaction and open accessibility and usability issues, and report them to the service owner at least quarterly.</v>
      </c>
      <c r="P19" s="14" t="n">
        <f aca="false">IF(K19="",0,(1-K19)/SUMIFS($M$2:$M$20,$B$2:$B$20,B19)*INDEX('Scoring (simple)'!$C$18:$C$27,MATCH(B19,'Scoring (simple)'!$B$18:$B$27,0)))</f>
        <v>1.25</v>
      </c>
      <c r="Q19" s="14" t="n">
        <f aca="false">IF(P19&gt;0,P19+IF(AND(D19="Y",J19="No"),1000,0)+ROW()/100000,0)</f>
        <v>1.25019</v>
      </c>
      <c r="R19" s="31" t="str">
        <f aca="false">IF(INDEX(Criteria!$X$2:$X$97,MATCH($A19,Criteria!$A$2:$A$97,0))="",INDEX(Criteria!$W$2:$W$97,MATCH($A19,Criteria!$A$2:$A$97,0)),HYPERLINK(INDEX(Criteria!$X$2:$X$97,MATCH($A19,Criteria!$A$2:$A$97,0)),INDEX(Criteria!$W$2:$W$97,MATCH($A19,Criteria!$A$2:$A$97,0))))</f>
        <v>AU Digital Performance Standard</v>
      </c>
    </row>
    <row r="20" customFormat="false" ht="46.25" hidden="false" customHeight="false" outlineLevel="0" collapsed="false">
      <c r="A20" s="10" t="s">
        <v>831</v>
      </c>
      <c r="B20" s="13" t="str">
        <f aca="false">INDEX(Criteria!$B$2:$B$97,MATCH($A20,Criteria!$A$2:$A$97,0))</f>
        <v>Measurement and continuous improvement</v>
      </c>
      <c r="C20" s="13" t="str">
        <f aca="false">INDEX(Criteria!$D$2:$D$97,MATCH($A20,Criteria!$A$2:$A$97,0))</f>
        <v>Is there a regular, resourced improvement cycle where insights from research, analytics, feedback, incidents and health checks are turned into prioritised changes that are released and their impact measured?</v>
      </c>
      <c r="D20" s="30" t="str">
        <f aca="false">INDEX(Criteria!$H$2:$H$97,MATCH($A20,Criteria!$A$2:$A$97,0))</f>
        <v>N</v>
      </c>
      <c r="E20" s="13" t="str">
        <f aca="false">INDEX(Criteria!$I$2:$I$97,MATCH($A20,Criteria!$A$2:$A$97,0))</f>
        <v>Run a regular improvement cycle that turns insights from research, analytics, feedback, incidents and health checks into prioritised changes, releases them, and measures their impact.</v>
      </c>
      <c r="F20" s="13" t="str">
        <f aca="false">INDEX(Criteria!$J$2:$J$97,MATCH($A20,Criteria!$A$2:$A$97,0))</f>
        <v>GOV.UK Service Standard point 8; AU Digital Service Standard 2.0 criterion 10 (keep it relevant)</v>
      </c>
      <c r="G20" s="13" t="str">
        <f aca="false">INDEX(Criteria!$L$2:$L$97,MATCH($A20,Criteria!$A$2:$A$97,0))</f>
        <v>Good practice</v>
      </c>
      <c r="H20" s="13" t="str">
        <f aca="false">INDEX(Criteria!$M$2:$M$97,MATCH($A20,Criteria!$A$2:$A$97,0))</f>
        <v>All</v>
      </c>
      <c r="J20" s="11" t="s">
        <v>300</v>
      </c>
      <c r="K20" s="12" t="n">
        <f aca="false">IF(J20="Yes",'Scoring (simple)'!$C$6,IF(J20="Partial",'Scoring (simple)'!$C$7,IF(J20="No",'Scoring (simple)'!$C$8,"")))</f>
        <v>0</v>
      </c>
      <c r="L20" s="12" t="n">
        <f aca="false">IF(K20="",0,K20)</f>
        <v>0</v>
      </c>
      <c r="M20" s="13" t="n">
        <f aca="false">IF(K20="",0,1)</f>
        <v>1</v>
      </c>
      <c r="N20" s="12" t="n">
        <f aca="false">INDEX('Scoring (simple)'!$C$18:$C$27,MATCH(B20,'Scoring (simple)'!$B$18:$B$27,0))/COUNTIF($B$2:$B$20,B20)</f>
        <v>2.5</v>
      </c>
      <c r="O20" s="13" t="str">
        <f aca="false">IF(OR(J20="Partial",J20="No"),E20,"")</f>
        <v>Run a regular improvement cycle that turns insights from research, analytics, feedback, incidents and health checks into prioritised changes, releases them, and measures their impact.</v>
      </c>
      <c r="P20" s="14" t="n">
        <f aca="false">IF(K20="",0,(1-K20)/SUMIFS($M$2:$M$20,$B$2:$B$20,B20)*INDEX('Scoring (simple)'!$C$18:$C$27,MATCH(B20,'Scoring (simple)'!$B$18:$B$27,0)))</f>
        <v>2.5</v>
      </c>
      <c r="Q20" s="14" t="n">
        <f aca="false">IF(P20&gt;0,P20+IF(AND(D20="Y",J20="No"),1000,0)+ROW()/100000,0)</f>
        <v>2.5002</v>
      </c>
      <c r="R20" s="31" t="str">
        <f aca="false">IF(INDEX(Criteria!$X$2:$X$97,MATCH($A20,Criteria!$A$2:$A$97,0))="",INDEX(Criteria!$W$2:$W$97,MATCH($A20,Criteria!$A$2:$A$97,0)),HYPERLINK(INDEX(Criteria!$X$2:$X$97,MATCH($A20,Criteria!$A$2:$A$97,0)),INDEX(Criteria!$W$2:$W$97,MATCH($A20,Criteria!$A$2:$A$97,0))))</f>
        <v>GOV.UK Service Standard (14 points)</v>
      </c>
    </row>
    <row r="22" customFormat="false" ht="15" hidden="false" customHeight="false" outlineLevel="0" collapsed="false">
      <c r="A22" s="3" t="s">
        <v>876</v>
      </c>
    </row>
    <row r="23" customFormat="false" ht="30" hidden="false" customHeight="true" outlineLevel="0" collapsed="false">
      <c r="A23" s="32" t="s">
        <v>877</v>
      </c>
      <c r="B23" s="32"/>
      <c r="C23" s="32"/>
      <c r="D23" s="32"/>
      <c r="E23" s="32"/>
      <c r="F23" s="32"/>
      <c r="G23" s="32"/>
      <c r="H23" s="32"/>
    </row>
    <row r="24" customFormat="false" ht="30" hidden="false" customHeight="true" outlineLevel="0" collapsed="false">
      <c r="A24" s="32" t="s">
        <v>878</v>
      </c>
      <c r="B24" s="32"/>
      <c r="C24" s="32"/>
      <c r="D24" s="32"/>
      <c r="E24" s="32"/>
      <c r="F24" s="32"/>
      <c r="G24" s="32"/>
      <c r="H24" s="32"/>
    </row>
    <row r="25" customFormat="false" ht="30" hidden="false" customHeight="true" outlineLevel="0" collapsed="false">
      <c r="A25" s="32" t="s">
        <v>879</v>
      </c>
      <c r="B25" s="32"/>
      <c r="C25" s="32"/>
      <c r="D25" s="32"/>
      <c r="E25" s="32"/>
      <c r="F25" s="32"/>
      <c r="G25" s="32"/>
      <c r="H25" s="32"/>
    </row>
  </sheetData>
  <autoFilter ref="A1:H20"/>
  <mergeCells count="3">
    <mergeCell ref="A23:H23"/>
    <mergeCell ref="A24:H24"/>
    <mergeCell ref="A25:H25"/>
  </mergeCells>
  <conditionalFormatting sqref="J2:J20">
    <cfRule type="cellIs" priority="2" operator="equal" aboveAverage="0" equalAverage="0" bottom="0" percent="0" rank="0" text="" dxfId="4">
      <formula>"No"</formula>
    </cfRule>
    <cfRule type="cellIs" priority="3" operator="equal" aboveAverage="0" equalAverage="0" bottom="0" percent="0" rank="0" text="" dxfId="5">
      <formula>"Partial"</formula>
    </cfRule>
    <cfRule type="cellIs" priority="4" operator="equal" aboveAverage="0" equalAverage="0" bottom="0" percent="0" rank="0" text="" dxfId="6">
      <formula>"Yes"</formula>
    </cfRule>
  </conditionalFormatting>
  <conditionalFormatting sqref="D2:D20">
    <cfRule type="cellIs" priority="5" operator="equal" aboveAverage="0" equalAverage="0" bottom="0" percent="0" rank="0" text="" dxfId="7">
      <formula>"Y"</formula>
    </cfRule>
  </conditionalFormatting>
  <dataValidations count="1">
    <dataValidation allowBlank="true" errorStyle="stop" operator="between" showDropDown="false" showErrorMessage="false" showInputMessage="false" sqref="J2:J20" type="list">
      <formula1>"Yes,Partial,No,N/A"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12"/>
    <col collapsed="false" customWidth="true" hidden="false" outlineLevel="0" max="6" min="5" style="0" width="14"/>
    <col collapsed="false" customWidth="true" hidden="false" outlineLevel="0" max="8" min="7" style="0" width="12"/>
    <col collapsed="false" customWidth="true" hidden="false" outlineLevel="0" max="9" min="9" style="0" width="60"/>
  </cols>
  <sheetData>
    <row r="1" customFormat="false" ht="19.7" hidden="false" customHeight="false" outlineLevel="0" collapsed="false">
      <c r="B1" s="1" t="s">
        <v>880</v>
      </c>
    </row>
    <row r="2" customFormat="false" ht="15" hidden="false" customHeight="false" outlineLevel="0" collapsed="false">
      <c r="B2" s="2" t="s">
        <v>881</v>
      </c>
    </row>
    <row r="4" customFormat="false" ht="15" hidden="false" customHeight="false" outlineLevel="0" collapsed="false">
      <c r="B4" s="3" t="s">
        <v>839</v>
      </c>
    </row>
    <row r="5" customFormat="false" ht="15" hidden="false" customHeight="false" outlineLevel="0" collapsed="false">
      <c r="B5" s="16" t="s">
        <v>840</v>
      </c>
      <c r="C5" s="16" t="s">
        <v>841</v>
      </c>
    </row>
    <row r="6" customFormat="false" ht="15" hidden="false" customHeight="false" outlineLevel="0" collapsed="false">
      <c r="B6" s="7" t="s">
        <v>108</v>
      </c>
      <c r="C6" s="17" t="n">
        <v>1</v>
      </c>
    </row>
    <row r="7" customFormat="false" ht="15" hidden="false" customHeight="false" outlineLevel="0" collapsed="false">
      <c r="B7" s="7" t="s">
        <v>129</v>
      </c>
      <c r="C7" s="17" t="n">
        <v>0.5</v>
      </c>
    </row>
    <row r="8" customFormat="false" ht="15" hidden="false" customHeight="false" outlineLevel="0" collapsed="false">
      <c r="B8" s="7" t="s">
        <v>300</v>
      </c>
      <c r="C8" s="17" t="n">
        <v>0</v>
      </c>
    </row>
    <row r="10" customFormat="false" ht="15" hidden="false" customHeight="false" outlineLevel="0" collapsed="false">
      <c r="B10" s="7" t="s">
        <v>842</v>
      </c>
      <c r="C10" s="17" t="n">
        <v>60</v>
      </c>
      <c r="E10" s="18" t="s">
        <v>843</v>
      </c>
    </row>
    <row r="11" customFormat="false" ht="15" hidden="false" customHeight="false" outlineLevel="0" collapsed="false">
      <c r="B11" s="7" t="s">
        <v>844</v>
      </c>
      <c r="C11" s="17" t="n">
        <v>85</v>
      </c>
    </row>
    <row r="12" customFormat="false" ht="15" hidden="false" customHeight="false" outlineLevel="0" collapsed="false">
      <c r="B12" s="7" t="s">
        <v>845</v>
      </c>
      <c r="C12" s="17" t="n">
        <v>70</v>
      </c>
    </row>
    <row r="13" customFormat="false" ht="15" hidden="false" customHeight="false" outlineLevel="0" collapsed="false">
      <c r="B13" s="7" t="s">
        <v>846</v>
      </c>
      <c r="C13" s="17" t="n">
        <v>50</v>
      </c>
    </row>
    <row r="16" customFormat="false" ht="15" hidden="false" customHeight="false" outlineLevel="0" collapsed="false">
      <c r="B16" s="3" t="s">
        <v>847</v>
      </c>
    </row>
    <row r="17" customFormat="false" ht="15" hidden="false" customHeight="false" outlineLevel="0" collapsed="false">
      <c r="B17" s="9" t="s">
        <v>82</v>
      </c>
      <c r="C17" s="9" t="s">
        <v>848</v>
      </c>
      <c r="D17" s="9" t="s">
        <v>882</v>
      </c>
      <c r="E17" s="9" t="s">
        <v>849</v>
      </c>
      <c r="F17" s="9" t="s">
        <v>850</v>
      </c>
      <c r="G17" s="9" t="s">
        <v>851</v>
      </c>
      <c r="H17" s="9" t="s">
        <v>852</v>
      </c>
      <c r="I17" s="9" t="s">
        <v>853</v>
      </c>
    </row>
    <row r="18" customFormat="false" ht="30" hidden="false" customHeight="true" outlineLevel="0" collapsed="false">
      <c r="B18" s="10" t="s">
        <v>96</v>
      </c>
      <c r="C18" s="19" t="n">
        <v>20</v>
      </c>
      <c r="D18" s="13" t="n">
        <f aca="false">COUNTIF('Criteria (simple)'!$B$2:$B$20,B18)</f>
        <v>3</v>
      </c>
      <c r="E18" s="12" t="n">
        <f aca="false">SUMIFS('Criteria (simple)'!$L$2:$L$20,'Criteria (simple)'!$B$2:$B$20,B18)</f>
        <v>2.5</v>
      </c>
      <c r="F18" s="13" t="n">
        <f aca="false">SUMIFS('Criteria (simple)'!$M$2:$M$20,'Criteria (simple)'!$B$2:$B$20,B18)</f>
        <v>3</v>
      </c>
      <c r="G18" s="20" t="n">
        <f aca="false">IF(F18=0,"",E18/F18)</f>
        <v>0.833333333333333</v>
      </c>
      <c r="H18" s="12" t="n">
        <f aca="false">IF(F18=0,"",G18*C18)</f>
        <v>16.6666666666667</v>
      </c>
      <c r="I18" s="10" t="s">
        <v>854</v>
      </c>
    </row>
    <row r="19" customFormat="false" ht="30" hidden="false" customHeight="true" outlineLevel="0" collapsed="false">
      <c r="B19" s="10" t="s">
        <v>236</v>
      </c>
      <c r="C19" s="19" t="n">
        <v>15</v>
      </c>
      <c r="D19" s="13" t="n">
        <f aca="false">COUNTIF('Criteria (simple)'!$B$2:$B$20,B19)</f>
        <v>2</v>
      </c>
      <c r="E19" s="12" t="n">
        <f aca="false">SUMIFS('Criteria (simple)'!$L$2:$L$20,'Criteria (simple)'!$B$2:$B$20,B19)</f>
        <v>1.5</v>
      </c>
      <c r="F19" s="13" t="n">
        <f aca="false">SUMIFS('Criteria (simple)'!$M$2:$M$20,'Criteria (simple)'!$B$2:$B$20,B19)</f>
        <v>2</v>
      </c>
      <c r="G19" s="20" t="n">
        <f aca="false">IF(F19=0,"",E19/F19)</f>
        <v>0.75</v>
      </c>
      <c r="H19" s="12" t="n">
        <f aca="false">IF(F19=0,"",G19*C19)</f>
        <v>11.25</v>
      </c>
      <c r="I19" s="10" t="s">
        <v>855</v>
      </c>
    </row>
    <row r="20" customFormat="false" ht="30" hidden="false" customHeight="true" outlineLevel="0" collapsed="false">
      <c r="B20" s="10" t="s">
        <v>336</v>
      </c>
      <c r="C20" s="19" t="n">
        <v>8</v>
      </c>
      <c r="D20" s="13" t="n">
        <f aca="false">COUNTIF('Criteria (simple)'!$B$2:$B$20,B20)</f>
        <v>1</v>
      </c>
      <c r="E20" s="12" t="n">
        <f aca="false">SUMIFS('Criteria (simple)'!$L$2:$L$20,'Criteria (simple)'!$B$2:$B$20,B20)</f>
        <v>0</v>
      </c>
      <c r="F20" s="13" t="n">
        <f aca="false">SUMIFS('Criteria (simple)'!$M$2:$M$20,'Criteria (simple)'!$B$2:$B$20,B20)</f>
        <v>1</v>
      </c>
      <c r="G20" s="20" t="n">
        <f aca="false">IF(F20=0,"",E20/F20)</f>
        <v>0</v>
      </c>
      <c r="H20" s="12" t="n">
        <f aca="false">IF(F20=0,"",G20*C20)</f>
        <v>0</v>
      </c>
      <c r="I20" s="10" t="s">
        <v>856</v>
      </c>
    </row>
    <row r="21" customFormat="false" ht="30" hidden="false" customHeight="true" outlineLevel="0" collapsed="false">
      <c r="B21" s="10" t="s">
        <v>400</v>
      </c>
      <c r="C21" s="19" t="n">
        <v>6</v>
      </c>
      <c r="D21" s="13" t="n">
        <f aca="false">COUNTIF('Criteria (simple)'!$B$2:$B$20,B21)</f>
        <v>1</v>
      </c>
      <c r="E21" s="12" t="n">
        <f aca="false">SUMIFS('Criteria (simple)'!$L$2:$L$20,'Criteria (simple)'!$B$2:$B$20,B21)</f>
        <v>1</v>
      </c>
      <c r="F21" s="13" t="n">
        <f aca="false">SUMIFS('Criteria (simple)'!$M$2:$M$20,'Criteria (simple)'!$B$2:$B$20,B21)</f>
        <v>1</v>
      </c>
      <c r="G21" s="20" t="n">
        <f aca="false">IF(F21=0,"",E21/F21)</f>
        <v>1</v>
      </c>
      <c r="H21" s="12" t="n">
        <f aca="false">IF(F21=0,"",G21*C21)</f>
        <v>6</v>
      </c>
      <c r="I21" s="10" t="s">
        <v>857</v>
      </c>
    </row>
    <row r="22" customFormat="false" ht="30" hidden="false" customHeight="true" outlineLevel="0" collapsed="false">
      <c r="B22" s="10" t="s">
        <v>442</v>
      </c>
      <c r="C22" s="19" t="n">
        <v>14</v>
      </c>
      <c r="D22" s="13" t="n">
        <f aca="false">COUNTIF('Criteria (simple)'!$B$2:$B$20,B22)</f>
        <v>3</v>
      </c>
      <c r="E22" s="12" t="n">
        <f aca="false">SUMIFS('Criteria (simple)'!$L$2:$L$20,'Criteria (simple)'!$B$2:$B$20,B22)</f>
        <v>2.5</v>
      </c>
      <c r="F22" s="13" t="n">
        <f aca="false">SUMIFS('Criteria (simple)'!$M$2:$M$20,'Criteria (simple)'!$B$2:$B$20,B22)</f>
        <v>3</v>
      </c>
      <c r="G22" s="20" t="n">
        <f aca="false">IF(F22=0,"",E22/F22)</f>
        <v>0.833333333333333</v>
      </c>
      <c r="H22" s="12" t="n">
        <f aca="false">IF(F22=0,"",G22*C22)</f>
        <v>11.6666666666667</v>
      </c>
      <c r="I22" s="10" t="s">
        <v>858</v>
      </c>
    </row>
    <row r="23" customFormat="false" ht="30" hidden="false" customHeight="true" outlineLevel="0" collapsed="false">
      <c r="B23" s="10" t="s">
        <v>528</v>
      </c>
      <c r="C23" s="19" t="n">
        <v>13</v>
      </c>
      <c r="D23" s="13" t="n">
        <f aca="false">COUNTIF('Criteria (simple)'!$B$2:$B$20,B23)</f>
        <v>3</v>
      </c>
      <c r="E23" s="12" t="n">
        <f aca="false">SUMIFS('Criteria (simple)'!$L$2:$L$20,'Criteria (simple)'!$B$2:$B$20,B23)</f>
        <v>1.5</v>
      </c>
      <c r="F23" s="13" t="n">
        <f aca="false">SUMIFS('Criteria (simple)'!$M$2:$M$20,'Criteria (simple)'!$B$2:$B$20,B23)</f>
        <v>3</v>
      </c>
      <c r="G23" s="20" t="n">
        <f aca="false">IF(F23=0,"",E23/F23)</f>
        <v>0.5</v>
      </c>
      <c r="H23" s="12" t="n">
        <f aca="false">IF(F23=0,"",G23*C23)</f>
        <v>6.5</v>
      </c>
      <c r="I23" s="10" t="s">
        <v>859</v>
      </c>
    </row>
    <row r="24" customFormat="false" ht="30" hidden="false" customHeight="true" outlineLevel="0" collapsed="false">
      <c r="B24" s="10" t="s">
        <v>610</v>
      </c>
      <c r="C24" s="19" t="n">
        <v>8</v>
      </c>
      <c r="D24" s="13" t="n">
        <f aca="false">COUNTIF('Criteria (simple)'!$B$2:$B$20,B24)</f>
        <v>1</v>
      </c>
      <c r="E24" s="12" t="n">
        <f aca="false">SUMIFS('Criteria (simple)'!$L$2:$L$20,'Criteria (simple)'!$B$2:$B$20,B24)</f>
        <v>1</v>
      </c>
      <c r="F24" s="13" t="n">
        <f aca="false">SUMIFS('Criteria (simple)'!$M$2:$M$20,'Criteria (simple)'!$B$2:$B$20,B24)</f>
        <v>1</v>
      </c>
      <c r="G24" s="20" t="n">
        <f aca="false">IF(F24=0,"",E24/F24)</f>
        <v>1</v>
      </c>
      <c r="H24" s="12" t="n">
        <f aca="false">IF(F24=0,"",G24*C24)</f>
        <v>8</v>
      </c>
      <c r="I24" s="10" t="s">
        <v>860</v>
      </c>
    </row>
    <row r="25" customFormat="false" ht="30" hidden="false" customHeight="true" outlineLevel="0" collapsed="false">
      <c r="B25" s="10" t="s">
        <v>662</v>
      </c>
      <c r="C25" s="19" t="n">
        <v>6</v>
      </c>
      <c r="D25" s="13" t="n">
        <f aca="false">COUNTIF('Criteria (simple)'!$B$2:$B$20,B25)</f>
        <v>1</v>
      </c>
      <c r="E25" s="12" t="n">
        <f aca="false">SUMIFS('Criteria (simple)'!$L$2:$L$20,'Criteria (simple)'!$B$2:$B$20,B25)</f>
        <v>0.5</v>
      </c>
      <c r="F25" s="13" t="n">
        <f aca="false">SUMIFS('Criteria (simple)'!$M$2:$M$20,'Criteria (simple)'!$B$2:$B$20,B25)</f>
        <v>1</v>
      </c>
      <c r="G25" s="20" t="n">
        <f aca="false">IF(F25=0,"",E25/F25)</f>
        <v>0.5</v>
      </c>
      <c r="H25" s="12" t="n">
        <f aca="false">IF(F25=0,"",G25*C25)</f>
        <v>3</v>
      </c>
      <c r="I25" s="10" t="s">
        <v>861</v>
      </c>
    </row>
    <row r="26" customFormat="false" ht="30" hidden="false" customHeight="true" outlineLevel="0" collapsed="false">
      <c r="B26" s="10" t="s">
        <v>736</v>
      </c>
      <c r="C26" s="19" t="n">
        <v>5</v>
      </c>
      <c r="D26" s="13" t="n">
        <f aca="false">COUNTIF('Criteria (simple)'!$B$2:$B$20,B26)</f>
        <v>2</v>
      </c>
      <c r="E26" s="12" t="n">
        <f aca="false">SUMIFS('Criteria (simple)'!$L$2:$L$20,'Criteria (simple)'!$B$2:$B$20,B26)</f>
        <v>2</v>
      </c>
      <c r="F26" s="13" t="n">
        <f aca="false">SUMIFS('Criteria (simple)'!$M$2:$M$20,'Criteria (simple)'!$B$2:$B$20,B26)</f>
        <v>2</v>
      </c>
      <c r="G26" s="20" t="n">
        <f aca="false">IF(F26=0,"",E26/F26)</f>
        <v>1</v>
      </c>
      <c r="H26" s="12" t="n">
        <f aca="false">IF(F26=0,"",G26*C26)</f>
        <v>5</v>
      </c>
      <c r="I26" s="10" t="s">
        <v>862</v>
      </c>
    </row>
    <row r="27" customFormat="false" ht="30" hidden="false" customHeight="true" outlineLevel="0" collapsed="false">
      <c r="B27" s="10" t="s">
        <v>790</v>
      </c>
      <c r="C27" s="19" t="n">
        <v>5</v>
      </c>
      <c r="D27" s="13" t="n">
        <f aca="false">COUNTIF('Criteria (simple)'!$B$2:$B$20,B27)</f>
        <v>2</v>
      </c>
      <c r="E27" s="12" t="n">
        <f aca="false">SUMIFS('Criteria (simple)'!$L$2:$L$20,'Criteria (simple)'!$B$2:$B$20,B27)</f>
        <v>0.5</v>
      </c>
      <c r="F27" s="13" t="n">
        <f aca="false">SUMIFS('Criteria (simple)'!$M$2:$M$20,'Criteria (simple)'!$B$2:$B$20,B27)</f>
        <v>2</v>
      </c>
      <c r="G27" s="20" t="n">
        <f aca="false">IF(F27=0,"",E27/F27)</f>
        <v>0.25</v>
      </c>
      <c r="H27" s="12" t="n">
        <f aca="false">IF(F27=0,"",G27*C27)</f>
        <v>1.25</v>
      </c>
      <c r="I27" s="10" t="s">
        <v>863</v>
      </c>
    </row>
    <row r="28" customFormat="false" ht="15" hidden="false" customHeight="false" outlineLevel="0" collapsed="false">
      <c r="B28" s="21" t="s">
        <v>864</v>
      </c>
      <c r="C28" s="21" t="n">
        <f aca="false">SUM(C18:C27)</f>
        <v>100</v>
      </c>
      <c r="D28" s="21" t="n">
        <f aca="false">SUM(D18:D27)</f>
        <v>19</v>
      </c>
      <c r="E28" s="22"/>
      <c r="F28" s="22"/>
      <c r="G28" s="22"/>
      <c r="H28" s="22"/>
      <c r="I28" s="23" t="str">
        <f aca="false">IF(C28=100,"Category points total 100 - OK","CHECK: category points must total 100")</f>
        <v>Category points total 100 - OK</v>
      </c>
    </row>
    <row r="30" customFormat="false" ht="15" hidden="false" customHeight="false" outlineLevel="0" collapsed="false">
      <c r="B30" s="3" t="s">
        <v>865</v>
      </c>
    </row>
    <row r="31" customFormat="false" ht="15" hidden="false" customHeight="false" outlineLevel="0" collapsed="false">
      <c r="B31" s="24" t="s">
        <v>866</v>
      </c>
      <c r="C31" s="25" t="n">
        <f aca="false">IF(SUMIFS(C18:C27,F18:F27,"&gt;0")=0,"",SUM(H18:H27)/SUMIFS(C18:C27,F18:F27,"&gt;0")*100)</f>
        <v>69.3333333333333</v>
      </c>
    </row>
    <row r="32" customFormat="false" ht="15" hidden="false" customHeight="false" outlineLevel="0" collapsed="false">
      <c r="B32" s="24" t="s">
        <v>867</v>
      </c>
      <c r="C32" s="26" t="n">
        <f aca="false">COUNTIFS('Criteria (simple)'!$D$2:$D$20,"Y",'Criteria (simple)'!$J$2:$J$20,"No")</f>
        <v>0</v>
      </c>
    </row>
    <row r="33" customFormat="false" ht="15" hidden="false" customHeight="false" outlineLevel="0" collapsed="false">
      <c r="B33" s="24" t="s">
        <v>868</v>
      </c>
      <c r="C33" s="27" t="n">
        <f aca="false">IF(C31="","",IF(C32&gt;0,MIN(C31,C10),C31))</f>
        <v>69.3333333333333</v>
      </c>
    </row>
    <row r="34" customFormat="false" ht="15" hidden="false" customHeight="false" outlineLevel="0" collapsed="false">
      <c r="B34" s="24" t="s">
        <v>869</v>
      </c>
      <c r="C34" s="28" t="str">
        <f aca="false">IF(C33="","",IF(C33&gt;=C11,"Healthy",IF(C33&gt;=C12,"Good, with gaps",IF(C33&gt;=C13,"Needs attention","At risk"))))</f>
        <v>Needs attention</v>
      </c>
    </row>
    <row r="35" customFormat="false" ht="15" hidden="false" customHeight="false" outlineLevel="0" collapsed="false">
      <c r="B35" s="24" t="s">
        <v>870</v>
      </c>
      <c r="C35" s="26" t="n">
        <f aca="false">COUNTIF('Criteria (simple)'!$J$2:$J$20,"Yes")+COUNTIF('Criteria (simple)'!$J$2:$J$20,"Partial")+COUNTIF('Criteria (simple)'!$J$2:$J$20,"No")</f>
        <v>19</v>
      </c>
    </row>
    <row r="36" customFormat="false" ht="15" hidden="false" customHeight="false" outlineLevel="0" collapsed="false">
      <c r="B36" s="24" t="s">
        <v>871</v>
      </c>
      <c r="C36" s="26" t="n">
        <f aca="false">COUNTIF('Criteria (simple)'!$J$2:$J$20,"N/A")</f>
        <v>0</v>
      </c>
    </row>
    <row r="37" customFormat="false" ht="15" hidden="false" customHeight="false" outlineLevel="0" collapsed="false">
      <c r="B37" s="24" t="s">
        <v>872</v>
      </c>
      <c r="C37" s="26" t="n">
        <f aca="false">COUNTBLANK('Criteria (simple)'!$J$2:$J$20)</f>
        <v>0</v>
      </c>
    </row>
    <row r="40" customFormat="false" ht="15" hidden="false" customHeight="false" outlineLevel="0" collapsed="false">
      <c r="B40" s="3" t="s">
        <v>873</v>
      </c>
    </row>
    <row r="41" customFormat="false" ht="15" hidden="false" customHeight="false" outlineLevel="0" collapsed="false">
      <c r="B41" s="29" t="s">
        <v>874</v>
      </c>
      <c r="C41" s="29" t="s">
        <v>38</v>
      </c>
      <c r="D41" s="29" t="s">
        <v>67</v>
      </c>
      <c r="E41" s="29" t="s">
        <v>50</v>
      </c>
      <c r="F41" s="29"/>
      <c r="G41" s="29"/>
      <c r="H41" s="29"/>
      <c r="I41" s="29"/>
    </row>
    <row r="42" customFormat="false" ht="42" hidden="false" customHeight="true" outlineLevel="0" collapsed="false">
      <c r="B42" s="10" t="n">
        <v>1</v>
      </c>
      <c r="C42" s="13" t="str">
        <f aca="false">IF(LARGE('Criteria (simple)'!$Q$2:$Q$20,1)=0,"",INDEX('Criteria (simple)'!$A$2:$A$20,MATCH(LARGE('Criteria (simple)'!$Q$2:$Q$20,1),'Criteria (simple)'!$Q$2:$Q$20,0)))</f>
        <v>CON-01</v>
      </c>
      <c r="D42" s="14" t="n">
        <f aca="false">IF(C42="","",INDEX('Criteria (simple)'!$P$2:$P$20,MATCH(C42,'Criteria (simple)'!$A$2:$A$20,0)))</f>
        <v>8</v>
      </c>
      <c r="E42" s="30" t="str">
        <f aca="false">IF(C42="","",INDEX('Criteria (simple)'!$E$2:$E$20,MATCH(C42,'Criteria (simple)'!$A$2:$A$20,0)))</f>
        <v>Write and review all public content in plain language, test it with users, and follow the agency's Plain Language Act processes.</v>
      </c>
      <c r="F42" s="30"/>
      <c r="G42" s="30"/>
      <c r="H42" s="30"/>
      <c r="I42" s="30"/>
    </row>
    <row r="43" customFormat="false" ht="42" hidden="false" customHeight="true" outlineLevel="0" collapsed="false">
      <c r="B43" s="10" t="n">
        <v>2</v>
      </c>
      <c r="C43" s="13" t="str">
        <f aca="false">IF(LARGE('Criteria (simple)'!$Q$2:$Q$20,2)=0,"",INDEX('Criteria (simple)'!$A$2:$A$20,MATCH(LARGE('Criteria (simple)'!$Q$2:$Q$20,2),'Criteria (simple)'!$Q$2:$Q$20,0)))</f>
        <v>OPS-01</v>
      </c>
      <c r="D43" s="14" t="n">
        <f aca="false">IF(C43="","",INDEX('Criteria (simple)'!$P$2:$P$20,MATCH(C43,'Criteria (simple)'!$A$2:$A$20,0)))</f>
        <v>4.33333333333333</v>
      </c>
      <c r="E43" s="30" t="str">
        <f aca="false">IF(C43="","",INDEX('Criteria (simple)'!$E$2:$E$20,MATCH(C43,'Criteria (simple)'!$A$2:$A$20,0)))</f>
        <v>Define and agree availability, response time and support targets that reflect how critical the service is to users, and measure against them.</v>
      </c>
      <c r="F43" s="30"/>
      <c r="G43" s="30"/>
      <c r="H43" s="30"/>
      <c r="I43" s="30"/>
    </row>
    <row r="44" customFormat="false" ht="42" hidden="false" customHeight="true" outlineLevel="0" collapsed="false">
      <c r="B44" s="10" t="n">
        <v>3</v>
      </c>
      <c r="C44" s="13" t="str">
        <f aca="false">IF(LARGE('Criteria (simple)'!$Q$2:$Q$20,3)=0,"",INDEX('Criteria (simple)'!$A$2:$A$20,MATCH(LARGE('Criteria (simple)'!$Q$2:$Q$20,3),'Criteria (simple)'!$Q$2:$Q$20,0)))</f>
        <v>UXD-02</v>
      </c>
      <c r="D44" s="14" t="n">
        <f aca="false">IF(C44="","",INDEX('Criteria (simple)'!$P$2:$P$20,MATCH(C44,'Criteria (simple)'!$A$2:$A$20,0)))</f>
        <v>3.75</v>
      </c>
      <c r="E44" s="30" t="str">
        <f aca="false">IF(C44="","",INDEX('Criteria (simple)'!$E$2:$E$20,MATCH(C44,'Criteria (simple)'!$A$2:$A$20,0)))</f>
        <v>Run regular user research with people who use the service, including those who struggle, and record how findings change the service.</v>
      </c>
      <c r="F44" s="30"/>
      <c r="G44" s="30"/>
      <c r="H44" s="30"/>
      <c r="I44" s="30"/>
    </row>
    <row r="45" customFormat="false" ht="42" hidden="false" customHeight="true" outlineLevel="0" collapsed="false">
      <c r="B45" s="10" t="n">
        <v>4</v>
      </c>
      <c r="C45" s="13" t="str">
        <f aca="false">IF(LARGE('Criteria (simple)'!$Q$2:$Q$20,4)=0,"",INDEX('Criteria (simple)'!$A$2:$A$20,MATCH(LARGE('Criteria (simple)'!$Q$2:$Q$20,4),'Criteria (simple)'!$Q$2:$Q$20,0)))</f>
        <v>ACC-02</v>
      </c>
      <c r="D45" s="14" t="n">
        <f aca="false">IF(C45="","",INDEX('Criteria (simple)'!$P$2:$P$20,MATCH(C45,'Criteria (simple)'!$A$2:$A$20,0)))</f>
        <v>3.33333333333333</v>
      </c>
      <c r="E45" s="30" t="str">
        <f aca="false">IF(C45="","",INDEX('Criteria (simple)'!$E$2:$E$20,MATCH(C45,'Criteria (simple)'!$A$2:$A$20,0)))</f>
        <v>Test every key task with at least one desktop and one mobile screen reader, ideally including blind and low vision users, and fix issues that stop tasks being completed.</v>
      </c>
      <c r="F45" s="30"/>
      <c r="G45" s="30"/>
      <c r="H45" s="30"/>
      <c r="I45" s="30"/>
    </row>
    <row r="46" customFormat="false" ht="42" hidden="false" customHeight="true" outlineLevel="0" collapsed="false">
      <c r="B46" s="10" t="n">
        <v>5</v>
      </c>
      <c r="C46" s="13" t="str">
        <f aca="false">IF(LARGE('Criteria (simple)'!$Q$2:$Q$20,5)=0,"",INDEX('Criteria (simple)'!$A$2:$A$20,MATCH(LARGE('Criteria (simple)'!$Q$2:$Q$20,5),'Criteria (simple)'!$Q$2:$Q$20,0)))</f>
        <v>LEG-09</v>
      </c>
      <c r="D46" s="14" t="n">
        <f aca="false">IF(C46="","",INDEX('Criteria (simple)'!$P$2:$P$20,MATCH(C46,'Criteria (simple)'!$A$2:$A$20,0)))</f>
        <v>3</v>
      </c>
      <c r="E46" s="30" t="str">
        <f aca="false">IF(C46="","",INDEX('Criteria (simple)'!$E$2:$E$20,MATCH(C46,'Criteria (simple)'!$A$2:$A$20,0)))</f>
        <v>Create and maintain a register of the legislation the service is subject to - including service-specific Acts such as the Planning Act and Natural Environment Act, and cross-cutting obligations on equal access, legal basis, public records and information access - have it reviewed by legal advisors, and re-check it when legislation or the service changes.</v>
      </c>
      <c r="F46" s="30"/>
      <c r="G46" s="30"/>
      <c r="H46" s="30"/>
      <c r="I46" s="30"/>
    </row>
  </sheetData>
  <mergeCells count="6">
    <mergeCell ref="E41:I41"/>
    <mergeCell ref="E42:I42"/>
    <mergeCell ref="E43:I43"/>
    <mergeCell ref="E44:I44"/>
    <mergeCell ref="E45:I45"/>
    <mergeCell ref="E46:I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44"/>
    <col collapsed="false" customWidth="true" hidden="false" outlineLevel="0" max="8" min="4" style="0" width="30"/>
    <col collapsed="false" customWidth="true" hidden="false" outlineLevel="0" max="9" min="9" style="0" width="8"/>
    <col collapsed="false" customWidth="true" hidden="false" outlineLevel="0" max="10" min="10" style="0" width="9"/>
    <col collapsed="false" customWidth="true" hidden="false" outlineLevel="0" max="12" min="11" style="0" width="10"/>
  </cols>
  <sheetData>
    <row r="1" customFormat="false" ht="19.7" hidden="false" customHeight="false" outlineLevel="0" collapsed="false">
      <c r="B1" s="1" t="s">
        <v>883</v>
      </c>
    </row>
    <row r="2" customFormat="false" ht="15" hidden="false" customHeight="false" outlineLevel="0" collapsed="false">
      <c r="B2" s="2" t="s">
        <v>884</v>
      </c>
    </row>
    <row r="4" customFormat="false" ht="30" hidden="false" customHeight="true" outlineLevel="0" collapsed="false">
      <c r="A4" s="9" t="s">
        <v>38</v>
      </c>
      <c r="B4" s="9" t="s">
        <v>885</v>
      </c>
      <c r="C4" s="9" t="s">
        <v>42</v>
      </c>
      <c r="D4" s="9" t="s">
        <v>886</v>
      </c>
      <c r="E4" s="9" t="s">
        <v>887</v>
      </c>
      <c r="F4" s="9" t="s">
        <v>888</v>
      </c>
      <c r="G4" s="9" t="s">
        <v>889</v>
      </c>
      <c r="H4" s="9" t="s">
        <v>890</v>
      </c>
      <c r="I4" s="9" t="s">
        <v>891</v>
      </c>
      <c r="J4" s="9" t="s">
        <v>892</v>
      </c>
      <c r="K4" s="9" t="s">
        <v>893</v>
      </c>
      <c r="L4" s="9" t="s">
        <v>894</v>
      </c>
    </row>
    <row r="5" customFormat="false" ht="75" hidden="false" customHeight="true" outlineLevel="0" collapsed="false">
      <c r="A5" s="10" t="s">
        <v>895</v>
      </c>
      <c r="B5" s="10" t="s">
        <v>896</v>
      </c>
      <c r="C5" s="10" t="s">
        <v>897</v>
      </c>
      <c r="D5" s="10" t="s">
        <v>898</v>
      </c>
      <c r="E5" s="10" t="s">
        <v>899</v>
      </c>
      <c r="F5" s="10" t="s">
        <v>900</v>
      </c>
      <c r="G5" s="10" t="s">
        <v>901</v>
      </c>
      <c r="H5" s="10" t="s">
        <v>902</v>
      </c>
      <c r="I5" s="11" t="n">
        <v>3</v>
      </c>
      <c r="J5" s="24" t="s">
        <v>101</v>
      </c>
      <c r="K5" s="11" t="n">
        <v>4</v>
      </c>
      <c r="L5" s="33" t="n">
        <f aca="false">IF(K5="","",K5*I5)</f>
        <v>12</v>
      </c>
    </row>
    <row r="6" customFormat="false" ht="75" hidden="false" customHeight="true" outlineLevel="0" collapsed="false">
      <c r="A6" s="10" t="s">
        <v>903</v>
      </c>
      <c r="B6" s="10" t="s">
        <v>904</v>
      </c>
      <c r="C6" s="10" t="s">
        <v>905</v>
      </c>
      <c r="D6" s="10" t="s">
        <v>906</v>
      </c>
      <c r="E6" s="10" t="s">
        <v>907</v>
      </c>
      <c r="F6" s="10" t="s">
        <v>908</v>
      </c>
      <c r="G6" s="10" t="s">
        <v>909</v>
      </c>
      <c r="H6" s="10" t="s">
        <v>910</v>
      </c>
      <c r="I6" s="11" t="n">
        <v>3</v>
      </c>
      <c r="J6" s="24" t="s">
        <v>101</v>
      </c>
      <c r="K6" s="11" t="n">
        <v>3</v>
      </c>
      <c r="L6" s="33" t="n">
        <f aca="false">IF(K6="","",K6*I6)</f>
        <v>9</v>
      </c>
    </row>
    <row r="7" customFormat="false" ht="75" hidden="false" customHeight="true" outlineLevel="0" collapsed="false">
      <c r="A7" s="10" t="s">
        <v>911</v>
      </c>
      <c r="B7" s="10" t="s">
        <v>912</v>
      </c>
      <c r="C7" s="10" t="s">
        <v>913</v>
      </c>
      <c r="D7" s="10" t="s">
        <v>914</v>
      </c>
      <c r="E7" s="10" t="s">
        <v>915</v>
      </c>
      <c r="F7" s="10" t="s">
        <v>916</v>
      </c>
      <c r="G7" s="10" t="s">
        <v>917</v>
      </c>
      <c r="H7" s="10" t="s">
        <v>918</v>
      </c>
      <c r="I7" s="11" t="n">
        <v>2</v>
      </c>
      <c r="J7" s="24" t="s">
        <v>115</v>
      </c>
      <c r="K7" s="11" t="n">
        <v>4</v>
      </c>
      <c r="L7" s="33" t="n">
        <f aca="false">IF(K7="","",K7*I7)</f>
        <v>8</v>
      </c>
    </row>
    <row r="8" customFormat="false" ht="75" hidden="false" customHeight="true" outlineLevel="0" collapsed="false">
      <c r="A8" s="10" t="s">
        <v>919</v>
      </c>
      <c r="B8" s="10" t="s">
        <v>920</v>
      </c>
      <c r="C8" s="10" t="s">
        <v>921</v>
      </c>
      <c r="D8" s="10" t="s">
        <v>922</v>
      </c>
      <c r="E8" s="10" t="s">
        <v>923</v>
      </c>
      <c r="F8" s="10" t="s">
        <v>924</v>
      </c>
      <c r="G8" s="10" t="s">
        <v>925</v>
      </c>
      <c r="H8" s="10" t="s">
        <v>926</v>
      </c>
      <c r="I8" s="11" t="n">
        <v>2</v>
      </c>
      <c r="J8" s="24" t="s">
        <v>115</v>
      </c>
      <c r="K8" s="11" t="n">
        <v>3</v>
      </c>
      <c r="L8" s="33" t="n">
        <f aca="false">IF(K8="","",K8*I8)</f>
        <v>6</v>
      </c>
    </row>
    <row r="9" customFormat="false" ht="75" hidden="false" customHeight="true" outlineLevel="0" collapsed="false">
      <c r="A9" s="10" t="s">
        <v>927</v>
      </c>
      <c r="B9" s="10" t="s">
        <v>928</v>
      </c>
      <c r="C9" s="10" t="s">
        <v>929</v>
      </c>
      <c r="D9" s="10" t="s">
        <v>930</v>
      </c>
      <c r="E9" s="10" t="s">
        <v>931</v>
      </c>
      <c r="F9" s="10" t="s">
        <v>932</v>
      </c>
      <c r="G9" s="10" t="s">
        <v>933</v>
      </c>
      <c r="H9" s="10" t="s">
        <v>934</v>
      </c>
      <c r="I9" s="11" t="n">
        <v>2</v>
      </c>
      <c r="J9" s="24" t="s">
        <v>115</v>
      </c>
      <c r="K9" s="11" t="n">
        <v>4</v>
      </c>
      <c r="L9" s="33" t="n">
        <f aca="false">IF(K9="","",K9*I9)</f>
        <v>8</v>
      </c>
    </row>
    <row r="10" customFormat="false" ht="75" hidden="false" customHeight="true" outlineLevel="0" collapsed="false">
      <c r="A10" s="10" t="s">
        <v>935</v>
      </c>
      <c r="B10" s="10" t="s">
        <v>936</v>
      </c>
      <c r="C10" s="10" t="s">
        <v>937</v>
      </c>
      <c r="D10" s="10" t="s">
        <v>938</v>
      </c>
      <c r="E10" s="10" t="s">
        <v>939</v>
      </c>
      <c r="F10" s="10" t="s">
        <v>940</v>
      </c>
      <c r="G10" s="10" t="s">
        <v>941</v>
      </c>
      <c r="H10" s="10" t="s">
        <v>942</v>
      </c>
      <c r="I10" s="11" t="n">
        <v>1</v>
      </c>
      <c r="J10" s="24" t="s">
        <v>115</v>
      </c>
      <c r="K10" s="11" t="n">
        <v>2</v>
      </c>
      <c r="L10" s="33" t="n">
        <f aca="false">IF(K10="","",K10*I10)</f>
        <v>2</v>
      </c>
    </row>
    <row r="11" customFormat="false" ht="75" hidden="false" customHeight="true" outlineLevel="0" collapsed="false">
      <c r="A11" s="10" t="s">
        <v>943</v>
      </c>
      <c r="B11" s="10" t="s">
        <v>944</v>
      </c>
      <c r="C11" s="10" t="s">
        <v>945</v>
      </c>
      <c r="D11" s="10" t="s">
        <v>946</v>
      </c>
      <c r="E11" s="10" t="s">
        <v>947</v>
      </c>
      <c r="F11" s="10" t="s">
        <v>948</v>
      </c>
      <c r="G11" s="10" t="s">
        <v>949</v>
      </c>
      <c r="H11" s="10" t="s">
        <v>950</v>
      </c>
      <c r="I11" s="11" t="n">
        <v>3</v>
      </c>
      <c r="J11" s="24" t="s">
        <v>101</v>
      </c>
      <c r="K11" s="11" t="n">
        <v>4</v>
      </c>
      <c r="L11" s="33" t="n">
        <f aca="false">IF(K11="","",K11*I11)</f>
        <v>12</v>
      </c>
    </row>
    <row r="12" customFormat="false" ht="75" hidden="false" customHeight="true" outlineLevel="0" collapsed="false">
      <c r="A12" s="10" t="s">
        <v>951</v>
      </c>
      <c r="B12" s="10" t="s">
        <v>952</v>
      </c>
      <c r="C12" s="10" t="s">
        <v>953</v>
      </c>
      <c r="D12" s="10" t="s">
        <v>954</v>
      </c>
      <c r="E12" s="10" t="s">
        <v>955</v>
      </c>
      <c r="F12" s="10" t="s">
        <v>956</v>
      </c>
      <c r="G12" s="10" t="s">
        <v>957</v>
      </c>
      <c r="H12" s="10" t="s">
        <v>958</v>
      </c>
      <c r="I12" s="11" t="n">
        <v>1</v>
      </c>
      <c r="J12" s="24" t="s">
        <v>115</v>
      </c>
      <c r="K12" s="11" t="n">
        <v>3</v>
      </c>
      <c r="L12" s="33" t="n">
        <f aca="false">IF(K12="","",K12*I12)</f>
        <v>3</v>
      </c>
    </row>
    <row r="13" customFormat="false" ht="75" hidden="false" customHeight="true" outlineLevel="0" collapsed="false">
      <c r="A13" s="10" t="s">
        <v>959</v>
      </c>
      <c r="B13" s="10" t="s">
        <v>960</v>
      </c>
      <c r="C13" s="10" t="s">
        <v>961</v>
      </c>
      <c r="D13" s="10" t="s">
        <v>962</v>
      </c>
      <c r="E13" s="10" t="s">
        <v>963</v>
      </c>
      <c r="F13" s="10" t="s">
        <v>964</v>
      </c>
      <c r="G13" s="10" t="s">
        <v>965</v>
      </c>
      <c r="H13" s="10" t="s">
        <v>966</v>
      </c>
      <c r="I13" s="11" t="n">
        <v>2</v>
      </c>
      <c r="J13" s="24" t="s">
        <v>115</v>
      </c>
      <c r="K13" s="11" t="n">
        <v>3</v>
      </c>
      <c r="L13" s="33" t="n">
        <f aca="false">IF(K13="","",K13*I13)</f>
        <v>6</v>
      </c>
    </row>
    <row r="14" customFormat="false" ht="75" hidden="false" customHeight="true" outlineLevel="0" collapsed="false">
      <c r="A14" s="10" t="s">
        <v>967</v>
      </c>
      <c r="B14" s="10" t="s">
        <v>968</v>
      </c>
      <c r="C14" s="10" t="s">
        <v>969</v>
      </c>
      <c r="D14" s="10" t="s">
        <v>970</v>
      </c>
      <c r="E14" s="10" t="s">
        <v>971</v>
      </c>
      <c r="F14" s="10" t="s">
        <v>972</v>
      </c>
      <c r="G14" s="10" t="s">
        <v>973</v>
      </c>
      <c r="H14" s="10" t="s">
        <v>974</v>
      </c>
      <c r="I14" s="11" t="n">
        <v>1</v>
      </c>
      <c r="J14" s="24" t="s">
        <v>115</v>
      </c>
      <c r="K14" s="11" t="n">
        <v>3</v>
      </c>
      <c r="L14" s="33" t="n">
        <f aca="false">IF(K14="","",K14*I14)</f>
        <v>3</v>
      </c>
    </row>
    <row r="17" customFormat="false" ht="15" hidden="false" customHeight="false" outlineLevel="0" collapsed="false">
      <c r="B17" s="3" t="s">
        <v>839</v>
      </c>
    </row>
    <row r="18" customFormat="false" ht="15" hidden="false" customHeight="false" outlineLevel="0" collapsed="false">
      <c r="C18" s="7" t="s">
        <v>975</v>
      </c>
      <c r="D18" s="17" t="n">
        <v>4</v>
      </c>
    </row>
    <row r="19" customFormat="false" ht="30" hidden="false" customHeight="true" outlineLevel="0" collapsed="false">
      <c r="C19" s="34" t="s">
        <v>976</v>
      </c>
      <c r="D19" s="34"/>
      <c r="E19" s="34"/>
      <c r="F19" s="34"/>
      <c r="G19" s="34"/>
      <c r="H19" s="34"/>
    </row>
    <row r="21" customFormat="false" ht="15" hidden="false" customHeight="false" outlineLevel="0" collapsed="false">
      <c r="B21" s="3" t="s">
        <v>977</v>
      </c>
    </row>
    <row r="22" customFormat="false" ht="15" hidden="false" customHeight="false" outlineLevel="0" collapsed="false">
      <c r="C22" s="24" t="s">
        <v>978</v>
      </c>
      <c r="D22" s="35" t="n">
        <f aca="false">COUNT(K5:K14)</f>
        <v>10</v>
      </c>
    </row>
    <row r="23" customFormat="false" ht="15" hidden="false" customHeight="false" outlineLevel="0" collapsed="false">
      <c r="C23" s="24" t="s">
        <v>979</v>
      </c>
      <c r="D23" s="14" t="n">
        <f aca="false">IF(COUNT(K5:K14)=0,"",SUMPRODUCT(I5:I14,K5:K14)/SUMIFS(I5:I14,K5:K14,"&gt;0"))</f>
        <v>3.45</v>
      </c>
    </row>
    <row r="24" customFormat="false" ht="15" hidden="false" customHeight="false" outlineLevel="0" collapsed="false">
      <c r="C24" s="24" t="s">
        <v>980</v>
      </c>
      <c r="D24" s="35" t="n">
        <f aca="false">COUNTIFS(J5:J14,"Y",K5:K14,5)</f>
        <v>0</v>
      </c>
    </row>
    <row r="25" customFormat="false" ht="15" hidden="false" customHeight="false" outlineLevel="0" collapsed="false">
      <c r="C25" s="24" t="s">
        <v>981</v>
      </c>
      <c r="D25" s="36" t="n">
        <f aca="false">IF(D23="","",IF(D24&gt;0,MAX(ROUND(D23,0),$D$18),ROUND(D23,0)))</f>
        <v>3</v>
      </c>
    </row>
    <row r="26" customFormat="false" ht="15" hidden="false" customHeight="false" outlineLevel="0" collapsed="false">
      <c r="C26" s="24" t="s">
        <v>982</v>
      </c>
      <c r="D26" s="37" t="str">
        <f aca="false">IF(D25="","",INDEX($C$31:$C$35,D25))</f>
        <v>Moderate</v>
      </c>
    </row>
    <row r="27" customFormat="false" ht="31.5" hidden="false" customHeight="true" outlineLevel="0" collapsed="false">
      <c r="C27" s="24" t="s">
        <v>983</v>
      </c>
      <c r="D27" s="38" t="str">
        <f aca="false">IF(D25="","",INDEX($D$31:$D$35,D25))</f>
        <v>A meaningful service for its users or the organisation. Planned support and monitoring; fix significant issues promptly.</v>
      </c>
      <c r="E27" s="38"/>
      <c r="F27" s="38"/>
      <c r="G27" s="38"/>
      <c r="H27" s="38"/>
    </row>
    <row r="28" customFormat="false" ht="15" hidden="false" customHeight="false" outlineLevel="0" collapsed="false">
      <c r="C28" s="24" t="s">
        <v>984</v>
      </c>
      <c r="D28" s="39" t="str">
        <f aca="false">IF(D25="","",INDEX('Service tiers'!$B$12:$B$16,D25))</f>
        <v>Silver</v>
      </c>
    </row>
    <row r="29" customFormat="false" ht="15" hidden="false" customHeight="false" outlineLevel="0" collapsed="false">
      <c r="C29" s="24" t="s">
        <v>985</v>
      </c>
      <c r="D29" s="11"/>
      <c r="E29" s="2" t="s">
        <v>986</v>
      </c>
    </row>
    <row r="30" customFormat="false" ht="15" hidden="false" customHeight="false" outlineLevel="0" collapsed="false">
      <c r="B30" s="29" t="s">
        <v>869</v>
      </c>
      <c r="C30" s="29" t="s">
        <v>987</v>
      </c>
      <c r="D30" s="29" t="s">
        <v>988</v>
      </c>
      <c r="E30" s="29"/>
      <c r="F30" s="29"/>
      <c r="G30" s="29"/>
      <c r="H30" s="29"/>
    </row>
    <row r="31" customFormat="false" ht="31.5" hidden="false" customHeight="true" outlineLevel="0" collapsed="false">
      <c r="B31" s="10" t="n">
        <v>1</v>
      </c>
      <c r="C31" s="10" t="s">
        <v>989</v>
      </c>
      <c r="D31" s="10" t="s">
        <v>990</v>
      </c>
      <c r="E31" s="10"/>
      <c r="F31" s="10"/>
      <c r="G31" s="10"/>
      <c r="H31" s="10"/>
    </row>
    <row r="32" customFormat="false" ht="31.5" hidden="false" customHeight="true" outlineLevel="0" collapsed="false">
      <c r="B32" s="10" t="n">
        <v>2</v>
      </c>
      <c r="C32" s="10" t="s">
        <v>991</v>
      </c>
      <c r="D32" s="10" t="s">
        <v>992</v>
      </c>
      <c r="E32" s="10"/>
      <c r="F32" s="10"/>
      <c r="G32" s="10"/>
      <c r="H32" s="10"/>
    </row>
    <row r="33" customFormat="false" ht="31.5" hidden="false" customHeight="true" outlineLevel="0" collapsed="false">
      <c r="B33" s="10" t="n">
        <v>3</v>
      </c>
      <c r="C33" s="10" t="s">
        <v>993</v>
      </c>
      <c r="D33" s="10" t="s">
        <v>994</v>
      </c>
      <c r="E33" s="10"/>
      <c r="F33" s="10"/>
      <c r="G33" s="10"/>
      <c r="H33" s="10"/>
    </row>
    <row r="34" customFormat="false" ht="31.5" hidden="false" customHeight="true" outlineLevel="0" collapsed="false">
      <c r="B34" s="10" t="n">
        <v>4</v>
      </c>
      <c r="C34" s="10" t="s">
        <v>995</v>
      </c>
      <c r="D34" s="10" t="s">
        <v>996</v>
      </c>
      <c r="E34" s="10"/>
      <c r="F34" s="10"/>
      <c r="G34" s="10"/>
      <c r="H34" s="10"/>
    </row>
    <row r="35" customFormat="false" ht="31.5" hidden="false" customHeight="true" outlineLevel="0" collapsed="false">
      <c r="B35" s="10" t="n">
        <v>5</v>
      </c>
      <c r="C35" s="10" t="s">
        <v>997</v>
      </c>
      <c r="D35" s="10" t="s">
        <v>998</v>
      </c>
      <c r="E35" s="10"/>
      <c r="F35" s="10"/>
      <c r="G35" s="10"/>
      <c r="H35" s="10"/>
    </row>
  </sheetData>
  <mergeCells count="8">
    <mergeCell ref="C19:H19"/>
    <mergeCell ref="D27:H27"/>
    <mergeCell ref="D30:H30"/>
    <mergeCell ref="D31:H31"/>
    <mergeCell ref="D32:H32"/>
    <mergeCell ref="D33:H33"/>
    <mergeCell ref="D34:H34"/>
    <mergeCell ref="D35:H35"/>
  </mergeCells>
  <dataValidations count="3">
    <dataValidation allowBlank="true" errorStyle="stop" operator="between" showDropDown="false" showErrorMessage="false" showInputMessage="false" sqref="K5:K14" type="whole">
      <formula1>1</formula1>
      <formula2>5</formula2>
    </dataValidation>
    <dataValidation allowBlank="false" errorStyle="stop" operator="between" showDropDown="false" showErrorMessage="false" showInputMessage="false" sqref="J5:J14" type="list">
      <formula1>"Y,N"</formula1>
      <formula2>0</formula2>
    </dataValidation>
    <dataValidation allowBlank="true" errorStyle="stop" operator="between" showDropDown="false" showErrorMessage="false" showInputMessage="false" sqref="D29" type="list">
      <formula1>"Platinum,Gold,Silver,Bronze"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40"/>
    <col collapsed="false" customWidth="true" hidden="false" outlineLevel="0" max="4" min="4" style="0" width="30"/>
    <col collapsed="false" customWidth="true" hidden="false" outlineLevel="0" max="7" min="5" style="0" width="26"/>
    <col collapsed="false" customWidth="true" hidden="false" outlineLevel="0" max="9" min="8" style="0" width="14"/>
    <col collapsed="false" customWidth="true" hidden="false" outlineLevel="0" max="10" min="10" style="0" width="36"/>
    <col collapsed="false" customWidth="true" hidden="false" outlineLevel="0" max="11" min="11" style="0" width="30"/>
    <col collapsed="false" customWidth="true" hidden="false" outlineLevel="0" max="12" min="12" style="0" width="24"/>
    <col collapsed="false" customWidth="true" hidden="false" outlineLevel="0" max="13" min="13" style="0" width="30"/>
    <col collapsed="false" customWidth="true" hidden="false" outlineLevel="0" max="14" min="14" style="0" width="32"/>
    <col collapsed="false" customWidth="true" hidden="false" outlineLevel="0" max="15" min="15" style="0" width="28"/>
  </cols>
  <sheetData>
    <row r="1" customFormat="false" ht="19.7" hidden="false" customHeight="false" outlineLevel="0" collapsed="false">
      <c r="A1" s="1" t="s">
        <v>999</v>
      </c>
    </row>
    <row r="2" customFormat="false" ht="45" hidden="false" customHeight="true" outlineLevel="0" collapsed="false">
      <c r="A2" s="34" t="s">
        <v>1000</v>
      </c>
      <c r="B2" s="34"/>
      <c r="C2" s="34"/>
      <c r="D2" s="34"/>
      <c r="E2" s="34"/>
      <c r="F2" s="34"/>
      <c r="G2" s="34"/>
      <c r="H2" s="34"/>
    </row>
    <row r="4" customFormat="false" ht="45" hidden="false" customHeight="true" outlineLevel="0" collapsed="false">
      <c r="A4" s="9" t="s">
        <v>1001</v>
      </c>
      <c r="B4" s="9" t="s">
        <v>1002</v>
      </c>
      <c r="C4" s="9" t="s">
        <v>1003</v>
      </c>
      <c r="D4" s="9" t="s">
        <v>1004</v>
      </c>
      <c r="E4" s="9" t="s">
        <v>1005</v>
      </c>
      <c r="F4" s="9" t="s">
        <v>1006</v>
      </c>
      <c r="G4" s="9" t="s">
        <v>1007</v>
      </c>
      <c r="H4" s="9" t="s">
        <v>1008</v>
      </c>
      <c r="I4" s="9" t="s">
        <v>1009</v>
      </c>
      <c r="J4" s="9" t="s">
        <v>1010</v>
      </c>
      <c r="K4" s="9" t="s">
        <v>1011</v>
      </c>
      <c r="L4" s="9" t="s">
        <v>1012</v>
      </c>
      <c r="M4" s="9" t="s">
        <v>1013</v>
      </c>
      <c r="N4" s="9" t="s">
        <v>1014</v>
      </c>
      <c r="O4" s="9" t="s">
        <v>1015</v>
      </c>
    </row>
    <row r="5" customFormat="false" ht="90" hidden="false" customHeight="true" outlineLevel="0" collapsed="false">
      <c r="A5" s="40" t="s">
        <v>1016</v>
      </c>
      <c r="B5" s="10" t="s">
        <v>890</v>
      </c>
      <c r="C5" s="10" t="s">
        <v>1017</v>
      </c>
      <c r="D5" s="10" t="s">
        <v>1018</v>
      </c>
      <c r="E5" s="10" t="s">
        <v>1019</v>
      </c>
      <c r="F5" s="10" t="s">
        <v>1020</v>
      </c>
      <c r="G5" s="10" t="s">
        <v>1021</v>
      </c>
      <c r="H5" s="10" t="s">
        <v>1022</v>
      </c>
      <c r="I5" s="10" t="s">
        <v>1023</v>
      </c>
      <c r="J5" s="10" t="s">
        <v>1024</v>
      </c>
      <c r="K5" s="10" t="s">
        <v>1025</v>
      </c>
      <c r="L5" s="10" t="s">
        <v>1026</v>
      </c>
      <c r="M5" s="10" t="s">
        <v>1027</v>
      </c>
      <c r="N5" s="10" t="s">
        <v>1028</v>
      </c>
      <c r="O5" s="10" t="s">
        <v>1029</v>
      </c>
    </row>
    <row r="6" customFormat="false" ht="90" hidden="false" customHeight="true" outlineLevel="0" collapsed="false">
      <c r="A6" s="40" t="s">
        <v>1030</v>
      </c>
      <c r="B6" s="10" t="s">
        <v>889</v>
      </c>
      <c r="C6" s="10" t="s">
        <v>1031</v>
      </c>
      <c r="D6" s="10" t="s">
        <v>1032</v>
      </c>
      <c r="E6" s="10" t="s">
        <v>1033</v>
      </c>
      <c r="F6" s="10" t="s">
        <v>1034</v>
      </c>
      <c r="G6" s="10" t="s">
        <v>1035</v>
      </c>
      <c r="H6" s="10" t="s">
        <v>1036</v>
      </c>
      <c r="I6" s="10" t="s">
        <v>1037</v>
      </c>
      <c r="J6" s="10" t="s">
        <v>1038</v>
      </c>
      <c r="K6" s="10" t="s">
        <v>1039</v>
      </c>
      <c r="L6" s="10" t="s">
        <v>1040</v>
      </c>
      <c r="M6" s="10" t="s">
        <v>1041</v>
      </c>
      <c r="N6" s="10" t="s">
        <v>1042</v>
      </c>
      <c r="O6" s="10" t="s">
        <v>1029</v>
      </c>
    </row>
    <row r="7" customFormat="false" ht="90" hidden="false" customHeight="true" outlineLevel="0" collapsed="false">
      <c r="A7" s="40" t="s">
        <v>1043</v>
      </c>
      <c r="B7" s="10" t="s">
        <v>888</v>
      </c>
      <c r="C7" s="10" t="s">
        <v>1044</v>
      </c>
      <c r="D7" s="10" t="s">
        <v>1045</v>
      </c>
      <c r="E7" s="10" t="s">
        <v>1046</v>
      </c>
      <c r="F7" s="10" t="s">
        <v>1035</v>
      </c>
      <c r="G7" s="10" t="s">
        <v>1047</v>
      </c>
      <c r="H7" s="10" t="s">
        <v>1048</v>
      </c>
      <c r="I7" s="10" t="s">
        <v>1048</v>
      </c>
      <c r="J7" s="10" t="s">
        <v>1049</v>
      </c>
      <c r="K7" s="10" t="s">
        <v>1050</v>
      </c>
      <c r="L7" s="10" t="s">
        <v>1051</v>
      </c>
      <c r="M7" s="10" t="s">
        <v>1052</v>
      </c>
      <c r="N7" s="10" t="s">
        <v>1053</v>
      </c>
      <c r="O7" s="10" t="s">
        <v>1054</v>
      </c>
    </row>
    <row r="8" customFormat="false" ht="90" hidden="false" customHeight="true" outlineLevel="0" collapsed="false">
      <c r="A8" s="40" t="s">
        <v>1055</v>
      </c>
      <c r="B8" s="10" t="s">
        <v>1056</v>
      </c>
      <c r="C8" s="10" t="s">
        <v>1057</v>
      </c>
      <c r="D8" s="10" t="s">
        <v>1058</v>
      </c>
      <c r="E8" s="10" t="s">
        <v>1059</v>
      </c>
      <c r="F8" s="10" t="s">
        <v>1060</v>
      </c>
      <c r="G8" s="10" t="s">
        <v>1061</v>
      </c>
      <c r="H8" s="10" t="s">
        <v>1062</v>
      </c>
      <c r="I8" s="10" t="s">
        <v>1048</v>
      </c>
      <c r="J8" s="10" t="s">
        <v>1063</v>
      </c>
      <c r="K8" s="10" t="s">
        <v>1064</v>
      </c>
      <c r="L8" s="10" t="s">
        <v>1065</v>
      </c>
      <c r="M8" s="10" t="s">
        <v>1066</v>
      </c>
      <c r="N8" s="10" t="s">
        <v>1067</v>
      </c>
      <c r="O8" s="10" t="s">
        <v>1068</v>
      </c>
    </row>
    <row r="10" customFormat="false" ht="15" hidden="false" customHeight="false" outlineLevel="0" collapsed="false">
      <c r="A10" s="3" t="s">
        <v>1069</v>
      </c>
    </row>
    <row r="11" customFormat="false" ht="15" hidden="false" customHeight="false" outlineLevel="0" collapsed="false">
      <c r="A11" s="29" t="s">
        <v>1002</v>
      </c>
      <c r="B11" s="29" t="s">
        <v>1070</v>
      </c>
    </row>
    <row r="12" customFormat="false" ht="15" hidden="false" customHeight="false" outlineLevel="0" collapsed="false">
      <c r="A12" s="24" t="n">
        <v>1</v>
      </c>
      <c r="B12" s="11" t="s">
        <v>1055</v>
      </c>
    </row>
    <row r="13" customFormat="false" ht="15" hidden="false" customHeight="false" outlineLevel="0" collapsed="false">
      <c r="A13" s="24" t="n">
        <v>2</v>
      </c>
      <c r="B13" s="11" t="s">
        <v>1055</v>
      </c>
    </row>
    <row r="14" customFormat="false" ht="15" hidden="false" customHeight="false" outlineLevel="0" collapsed="false">
      <c r="A14" s="24" t="n">
        <v>3</v>
      </c>
      <c r="B14" s="11" t="s">
        <v>1043</v>
      </c>
    </row>
    <row r="15" customFormat="false" ht="15" hidden="false" customHeight="false" outlineLevel="0" collapsed="false">
      <c r="A15" s="24" t="n">
        <v>4</v>
      </c>
      <c r="B15" s="11" t="s">
        <v>1030</v>
      </c>
    </row>
    <row r="16" customFormat="false" ht="15" hidden="false" customHeight="false" outlineLevel="0" collapsed="false">
      <c r="A16" s="24" t="n">
        <v>5</v>
      </c>
      <c r="B16" s="11" t="s">
        <v>1016</v>
      </c>
    </row>
    <row r="18" customFormat="false" ht="15" hidden="false" customHeight="false" outlineLevel="0" collapsed="false">
      <c r="A18" s="3" t="s">
        <v>876</v>
      </c>
    </row>
    <row r="19" customFormat="false" ht="27.75" hidden="false" customHeight="true" outlineLevel="0" collapsed="false">
      <c r="A19" s="32" t="s">
        <v>1071</v>
      </c>
      <c r="B19" s="32"/>
      <c r="C19" s="32"/>
      <c r="D19" s="32"/>
      <c r="E19" s="32"/>
      <c r="F19" s="32"/>
      <c r="G19" s="32"/>
      <c r="H19" s="32"/>
    </row>
    <row r="20" customFormat="false" ht="27.75" hidden="false" customHeight="true" outlineLevel="0" collapsed="false">
      <c r="A20" s="32" t="s">
        <v>1072</v>
      </c>
      <c r="B20" s="32"/>
      <c r="C20" s="32"/>
      <c r="D20" s="32"/>
      <c r="E20" s="32"/>
      <c r="F20" s="32"/>
      <c r="G20" s="32"/>
      <c r="H20" s="32"/>
    </row>
    <row r="21" customFormat="false" ht="27.75" hidden="false" customHeight="true" outlineLevel="0" collapsed="false">
      <c r="A21" s="32" t="s">
        <v>1073</v>
      </c>
      <c r="B21" s="32"/>
      <c r="C21" s="32"/>
      <c r="D21" s="32"/>
      <c r="E21" s="32"/>
      <c r="F21" s="32"/>
      <c r="G21" s="32"/>
      <c r="H21" s="32"/>
    </row>
    <row r="22" customFormat="false" ht="27.75" hidden="false" customHeight="true" outlineLevel="0" collapsed="false">
      <c r="A22" s="32" t="s">
        <v>1074</v>
      </c>
      <c r="B22" s="32"/>
      <c r="C22" s="32"/>
      <c r="D22" s="32"/>
      <c r="E22" s="32"/>
      <c r="F22" s="32"/>
      <c r="G22" s="32"/>
      <c r="H22" s="32"/>
    </row>
    <row r="23" customFormat="false" ht="27.75" hidden="false" customHeight="true" outlineLevel="0" collapsed="false">
      <c r="A23" s="32" t="s">
        <v>1075</v>
      </c>
      <c r="B23" s="32"/>
      <c r="C23" s="32"/>
      <c r="D23" s="32"/>
      <c r="E23" s="32"/>
      <c r="F23" s="32"/>
      <c r="G23" s="32"/>
      <c r="H23" s="32"/>
    </row>
  </sheetData>
  <mergeCells count="6">
    <mergeCell ref="A2:H2"/>
    <mergeCell ref="A19:H19"/>
    <mergeCell ref="A20:H20"/>
    <mergeCell ref="A21:H21"/>
    <mergeCell ref="A22:H2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6" min="3" style="0" width="16"/>
    <col collapsed="false" customWidth="true" hidden="false" outlineLevel="0" max="7" min="7" style="0" width="40"/>
  </cols>
  <sheetData>
    <row r="1" customFormat="false" ht="19.7" hidden="false" customHeight="false" outlineLevel="0" collapsed="false">
      <c r="B1" s="1" t="s">
        <v>1076</v>
      </c>
    </row>
    <row r="2" customFormat="false" ht="15" hidden="false" customHeight="false" outlineLevel="0" collapsed="false">
      <c r="B2" s="41" t="s">
        <v>1077</v>
      </c>
      <c r="C2" s="42" t="s">
        <v>1078</v>
      </c>
      <c r="D2" s="42"/>
      <c r="E2" s="42"/>
    </row>
    <row r="3" customFormat="false" ht="15" hidden="false" customHeight="false" outlineLevel="0" collapsed="false">
      <c r="B3" s="41" t="s">
        <v>1079</v>
      </c>
      <c r="C3" s="42" t="s">
        <v>1080</v>
      </c>
      <c r="D3" s="42"/>
      <c r="E3" s="42"/>
    </row>
    <row r="4" customFormat="false" ht="30" hidden="false" customHeight="true" outlineLevel="0" collapsed="false">
      <c r="B4" s="34" t="s">
        <v>1081</v>
      </c>
      <c r="C4" s="34"/>
      <c r="D4" s="34"/>
      <c r="E4" s="34"/>
      <c r="F4" s="34"/>
      <c r="G4" s="34"/>
    </row>
    <row r="6" customFormat="false" ht="15" hidden="false" customHeight="false" outlineLevel="0" collapsed="false">
      <c r="B6" s="3" t="s">
        <v>1082</v>
      </c>
      <c r="K6" s="43" t="s">
        <v>1083</v>
      </c>
    </row>
    <row r="7" customFormat="false" ht="17.35" hidden="false" customHeight="false" outlineLevel="0" collapsed="false">
      <c r="B7" s="24" t="s">
        <v>1084</v>
      </c>
      <c r="C7" s="44" t="n">
        <f aca="false">'Scoring (simple)'!C33</f>
        <v>69.3333333333333</v>
      </c>
      <c r="D7" s="44"/>
      <c r="E7" s="44"/>
      <c r="F7" s="18" t="str">
        <f aca="false">"Green "&amp;K7&amp;"+ Healthy | Yellow "&amp;K9&amp;"-"&amp;(K7-1)&amp;" Good, with gaps | Amber "&amp;K8&amp;"-"&amp;(K9-1)&amp;" Needs attention | Red below "&amp;K8&amp;" or any critical failure"</f>
        <v>Green 85+ Healthy | Yellow 70-84 Good, with gaps | Amber 50-69 Needs attention | Red below 50 or any critical failure</v>
      </c>
      <c r="K7" s="43" t="n">
        <f aca="false">'Scoring (simple)'!C11</f>
        <v>85</v>
      </c>
    </row>
    <row r="8" customFormat="false" ht="17.35" hidden="false" customHeight="false" outlineLevel="0" collapsed="false">
      <c r="B8" s="24" t="s">
        <v>869</v>
      </c>
      <c r="C8" s="45" t="str">
        <f aca="false">'Scoring (simple)'!C34</f>
        <v>Needs attention</v>
      </c>
      <c r="D8" s="45"/>
      <c r="E8" s="45"/>
      <c r="K8" s="43" t="n">
        <f aca="false">'Scoring (simple)'!C13</f>
        <v>50</v>
      </c>
    </row>
    <row r="9" customFormat="false" ht="15" hidden="false" customHeight="false" outlineLevel="0" collapsed="false">
      <c r="B9" s="24" t="s">
        <v>867</v>
      </c>
      <c r="C9" s="35" t="n">
        <f aca="false">'Scoring (simple)'!C32</f>
        <v>0</v>
      </c>
      <c r="D9" s="35"/>
      <c r="E9" s="35"/>
      <c r="K9" s="43" t="n">
        <f aca="false">'Scoring (simple)'!C12</f>
        <v>70</v>
      </c>
    </row>
    <row r="10" customFormat="false" ht="15" hidden="false" customHeight="false" outlineLevel="0" collapsed="false">
      <c r="B10" s="24" t="s">
        <v>1085</v>
      </c>
      <c r="C10" s="38" t="str">
        <f aca="false">'Scoring (simple)'!C35&amp;" / "&amp;'Scoring (simple)'!C36&amp;" / "&amp;'Scoring (simple)'!C37</f>
        <v>19 / 0 / 0</v>
      </c>
      <c r="D10" s="38"/>
      <c r="E10" s="38"/>
    </row>
    <row r="12" customFormat="false" ht="15" hidden="false" customHeight="false" outlineLevel="0" collapsed="false">
      <c r="B12" s="3" t="s">
        <v>1086</v>
      </c>
    </row>
    <row r="13" customFormat="false" ht="17.35" hidden="false" customHeight="false" outlineLevel="0" collapsed="false">
      <c r="B13" s="24" t="s">
        <v>981</v>
      </c>
      <c r="C13" s="44" t="n">
        <f aca="false">Materiality!$D$25</f>
        <v>3</v>
      </c>
      <c r="D13" s="44"/>
      <c r="E13" s="44"/>
      <c r="F13" s="18" t="s">
        <v>1087</v>
      </c>
    </row>
    <row r="14" customFormat="false" ht="17.35" hidden="false" customHeight="false" outlineLevel="0" collapsed="false">
      <c r="B14" s="24" t="s">
        <v>982</v>
      </c>
      <c r="C14" s="45" t="str">
        <f aca="false">Materiality!$D$26</f>
        <v>Moderate</v>
      </c>
      <c r="D14" s="45"/>
      <c r="E14" s="45"/>
    </row>
    <row r="15" customFormat="false" ht="45" hidden="false" customHeight="true" outlineLevel="0" collapsed="false">
      <c r="B15" s="24" t="s">
        <v>983</v>
      </c>
      <c r="C15" s="46" t="str">
        <f aca="false">Materiality!$D$27</f>
        <v>A meaningful service for its users or the organisation. Planned support and monitoring; fix significant issues promptly.</v>
      </c>
      <c r="D15" s="46"/>
      <c r="E15" s="46"/>
      <c r="F15" s="46"/>
      <c r="G15" s="46"/>
    </row>
    <row r="16" customFormat="false" ht="15" hidden="false" customHeight="false" outlineLevel="0" collapsed="false">
      <c r="B16" s="24" t="s">
        <v>1088</v>
      </c>
      <c r="C16" s="14" t="n">
        <f aca="false">Materiality!$D$23</f>
        <v>3.45</v>
      </c>
      <c r="D16" s="14"/>
      <c r="E16" s="14"/>
    </row>
    <row r="17" customFormat="false" ht="15" hidden="false" customHeight="false" outlineLevel="0" collapsed="false">
      <c r="B17" s="24" t="s">
        <v>1089</v>
      </c>
      <c r="C17" s="35" t="n">
        <f aca="false">Materiality!$D$24</f>
        <v>0</v>
      </c>
      <c r="D17" s="35"/>
      <c r="E17" s="35"/>
    </row>
    <row r="18" customFormat="false" ht="17.35" hidden="false" customHeight="false" outlineLevel="0" collapsed="false">
      <c r="B18" s="24" t="s">
        <v>1090</v>
      </c>
      <c r="C18" s="45" t="str">
        <f aca="false">IF(Materiality!$D$29&lt;&gt;"",Materiality!$D$29&amp;" (agreed)",Materiality!$D$28&amp;" (suggested)")</f>
        <v>Silver (suggested)</v>
      </c>
      <c r="D18" s="45"/>
      <c r="E18" s="45"/>
    </row>
    <row r="19" customFormat="false" ht="15" hidden="false" customHeight="false" outlineLevel="0" collapsed="false">
      <c r="B19" s="24" t="s">
        <v>1091</v>
      </c>
      <c r="C19" s="46" t="str">
        <f aca="false">IFERROR(INDEX('Service tiers'!$M$5:$M$8,MATCH(IF(Materiality!$D$29&lt;&gt;"",Materiality!$D$29,Materiality!$D$28),'Service tiers'!$A$5:$A$8,0)),"")</f>
        <v>Needs attention (50+) with no critical criteria answered 'No'</v>
      </c>
      <c r="D19" s="46"/>
      <c r="E19" s="46"/>
      <c r="F19" s="46"/>
      <c r="G19" s="46"/>
    </row>
    <row r="22" customFormat="false" ht="15" hidden="false" customHeight="false" outlineLevel="0" collapsed="false">
      <c r="B22" s="3" t="s">
        <v>1092</v>
      </c>
    </row>
    <row r="23" customFormat="false" ht="15" hidden="false" customHeight="false" outlineLevel="0" collapsed="false">
      <c r="B23" s="29" t="s">
        <v>874</v>
      </c>
      <c r="C23" s="29" t="s">
        <v>38</v>
      </c>
      <c r="D23" s="29" t="s">
        <v>50</v>
      </c>
      <c r="E23" s="29"/>
      <c r="F23" s="29"/>
      <c r="G23" s="29" t="s">
        <v>94</v>
      </c>
    </row>
    <row r="24" customFormat="false" ht="42" hidden="false" customHeight="true" outlineLevel="0" collapsed="false">
      <c r="B24" s="10" t="n">
        <v>1</v>
      </c>
      <c r="C24" s="13" t="str">
        <f aca="false">'Scoring (simple)'!C42</f>
        <v>CON-01</v>
      </c>
      <c r="D24" s="30" t="str">
        <f aca="false">'Scoring (simple)'!E42</f>
        <v>Write and review all public content in plain language, test it with users, and follow the agency's Plain Language Act processes.</v>
      </c>
      <c r="E24" s="30"/>
      <c r="F24" s="30"/>
      <c r="G24" s="31" t="str">
        <f aca="false">IF(C24="","",IF(INDEX(Criteria!$X$2:$X$97,MATCH(C24,Criteria!$A$2:$A$97,0))="",INDEX(Criteria!$W$2:$W$97,MATCH(C24,Criteria!$A$2:$A$97,0)),HYPERLINK(INDEX(Criteria!$X$2:$X$97,MATCH(C24,Criteria!$A$2:$A$97,0)),INDEX(Criteria!$W$2:$W$97,MATCH(C24,Criteria!$A$2:$A$97,0)))))</f>
        <v>Plain Language Act 2022</v>
      </c>
    </row>
    <row r="25" customFormat="false" ht="42" hidden="false" customHeight="true" outlineLevel="0" collapsed="false">
      <c r="B25" s="10" t="n">
        <v>2</v>
      </c>
      <c r="C25" s="13" t="str">
        <f aca="false">'Scoring (simple)'!C43</f>
        <v>OPS-01</v>
      </c>
      <c r="D25" s="30" t="str">
        <f aca="false">'Scoring (simple)'!E43</f>
        <v>Define and agree availability, response time and support targets that reflect how critical the service is to users, and measure against them.</v>
      </c>
      <c r="E25" s="30"/>
      <c r="F25" s="30"/>
      <c r="G25" s="31" t="str">
        <f aca="false">IF(C25="","",IF(INDEX(Criteria!$X$2:$X$97,MATCH(C25,Criteria!$A$2:$A$97,0))="",INDEX(Criteria!$W$2:$W$97,MATCH(C25,Criteria!$A$2:$A$97,0)),HYPERLINK(INDEX(Criteria!$X$2:$X$97,MATCH(C25,Criteria!$A$2:$A$97,0)),INDEX(Criteria!$W$2:$W$97,MATCH(C25,Criteria!$A$2:$A$97,0)))))</f>
        <v>AU guide: measuring service availability</v>
      </c>
    </row>
    <row r="26" customFormat="false" ht="42" hidden="false" customHeight="true" outlineLevel="0" collapsed="false">
      <c r="B26" s="10" t="n">
        <v>3</v>
      </c>
      <c r="C26" s="13" t="str">
        <f aca="false">'Scoring (simple)'!C44</f>
        <v>UXD-02</v>
      </c>
      <c r="D26" s="30" t="str">
        <f aca="false">'Scoring (simple)'!E44</f>
        <v>Run regular user research with people who use the service, including those who struggle, and record how findings change the service.</v>
      </c>
      <c r="E26" s="30"/>
      <c r="F26" s="30"/>
      <c r="G26" s="31" t="str">
        <f aca="false">IF(C26="","",IF(INDEX(Criteria!$X$2:$X$97,MATCH(C26,Criteria!$A$2:$A$97,0))="",INDEX(Criteria!$W$2:$W$97,MATCH(C26,Criteria!$A$2:$A$97,0)),HYPERLINK(INDEX(Criteria!$X$2:$X$97,MATCH(C26,Criteria!$A$2:$A$97,0)),INDEX(Criteria!$W$2:$W$97,MATCH(C26,Criteria!$A$2:$A$97,0)))))</f>
        <v>GOV.UK: understand users and needs</v>
      </c>
    </row>
    <row r="27" customFormat="false" ht="42" hidden="false" customHeight="true" outlineLevel="0" collapsed="false">
      <c r="B27" s="10" t="n">
        <v>4</v>
      </c>
      <c r="C27" s="13" t="str">
        <f aca="false">'Scoring (simple)'!C45</f>
        <v>ACC-02</v>
      </c>
      <c r="D27" s="30" t="str">
        <f aca="false">'Scoring (simple)'!E45</f>
        <v>Test every key task with at least one desktop and one mobile screen reader, ideally including blind and low vision users, and fix issues that stop tasks being completed.</v>
      </c>
      <c r="E27" s="30"/>
      <c r="F27" s="30"/>
      <c r="G27" s="31" t="str">
        <f aca="false">IF(C27="","",IF(INDEX(Criteria!$X$2:$X$97,MATCH(C27,Criteria!$A$2:$A$97,0))="",INDEX(Criteria!$W$2:$W$97,MATCH(C27,Criteria!$A$2:$A$97,0)),HYPERLINK(INDEX(Criteria!$X$2:$X$97,MATCH(C27,Criteria!$A$2:$A$97,0)),INDEX(Criteria!$W$2:$W$97,MATCH(C27,Criteria!$A$2:$A$97,0)))))</f>
        <v>W3C accessibility evaluation methodology</v>
      </c>
    </row>
    <row r="28" customFormat="false" ht="42" hidden="false" customHeight="true" outlineLevel="0" collapsed="false">
      <c r="B28" s="10" t="n">
        <v>5</v>
      </c>
      <c r="C28" s="13" t="str">
        <f aca="false">'Scoring (simple)'!C46</f>
        <v>LEG-09</v>
      </c>
      <c r="D28" s="30" t="str">
        <f aca="false">'Scoring (simple)'!E46</f>
        <v>Create and maintain a register of the legislation the service is subject to - including service-specific Acts such as the Planning Act and Natural Environment Act, and cross-cutting obligations on equal access, legal basis, public records and information access - have it reviewed by legal advisors, and re-check it when legislation or the service changes.</v>
      </c>
      <c r="E28" s="30"/>
      <c r="F28" s="30"/>
      <c r="G28" s="31" t="str">
        <f aca="false">IF(C28="","",IF(INDEX(Criteria!$X$2:$X$97,MATCH(C28,Criteria!$A$2:$A$97,0))="",INDEX(Criteria!$W$2:$W$97,MATCH(C28,Criteria!$A$2:$A$97,0)),HYPERLINK(INDEX(Criteria!$X$2:$X$97,MATCH(C28,Criteria!$A$2:$A$97,0)),INDEX(Criteria!$W$2:$W$97,MATCH(C28,Criteria!$A$2:$A$97,0)))))</f>
        <v>Planning and Natural Environment Acts overview</v>
      </c>
    </row>
    <row r="30" customFormat="false" ht="15" hidden="false" customHeight="false" outlineLevel="0" collapsed="false">
      <c r="B30" s="3" t="s">
        <v>1093</v>
      </c>
    </row>
    <row r="31" customFormat="false" ht="23.85" hidden="false" customHeight="false" outlineLevel="0" collapsed="false">
      <c r="B31" s="9" t="s">
        <v>82</v>
      </c>
      <c r="C31" s="9" t="s">
        <v>1094</v>
      </c>
      <c r="D31" s="9" t="s">
        <v>852</v>
      </c>
      <c r="E31" s="9" t="s">
        <v>1095</v>
      </c>
      <c r="F31" s="9" t="s">
        <v>851</v>
      </c>
    </row>
    <row r="32" customFormat="false" ht="15" hidden="false" customHeight="false" outlineLevel="0" collapsed="false">
      <c r="B32" s="33" t="str">
        <f aca="false">'Scoring (simple)'!B18</f>
        <v>Accessibility</v>
      </c>
      <c r="C32" s="47" t="str">
        <f aca="false">COUNTIFS('Criteria (simple)'!$B$2:$B$20,B32,'Criteria (simple)'!$J$2:$J$20,"&lt;&gt;")&amp;"/"&amp;'Scoring (simple)'!D18</f>
        <v>3/3</v>
      </c>
      <c r="D32" s="25" t="n">
        <f aca="false">'Scoring (simple)'!H18</f>
        <v>16.6666666666667</v>
      </c>
      <c r="E32" s="33" t="n">
        <f aca="false">'Scoring (simple)'!C18</f>
        <v>20</v>
      </c>
      <c r="F32" s="48" t="n">
        <f aca="false">'Scoring (simple)'!G18</f>
        <v>0.833333333333333</v>
      </c>
    </row>
    <row r="33" customFormat="false" ht="15" hidden="false" customHeight="false" outlineLevel="0" collapsed="false">
      <c r="B33" s="33" t="str">
        <f aca="false">'Scoring (simple)'!B19</f>
        <v>Usability and design</v>
      </c>
      <c r="C33" s="47" t="str">
        <f aca="false">COUNTIFS('Criteria (simple)'!$B$2:$B$20,B33,'Criteria (simple)'!$J$2:$J$20,"&lt;&gt;")&amp;"/"&amp;'Scoring (simple)'!D19</f>
        <v>2/2</v>
      </c>
      <c r="D33" s="25" t="n">
        <f aca="false">'Scoring (simple)'!H19</f>
        <v>11.25</v>
      </c>
      <c r="E33" s="33" t="n">
        <f aca="false">'Scoring (simple)'!C19</f>
        <v>15</v>
      </c>
      <c r="F33" s="48" t="n">
        <f aca="false">'Scoring (simple)'!G19</f>
        <v>0.75</v>
      </c>
    </row>
    <row r="34" customFormat="false" ht="15" hidden="false" customHeight="false" outlineLevel="0" collapsed="false">
      <c r="B34" s="33" t="str">
        <f aca="false">'Scoring (simple)'!B20</f>
        <v>Content and tone of voice</v>
      </c>
      <c r="C34" s="47" t="str">
        <f aca="false">COUNTIFS('Criteria (simple)'!$B$2:$B$20,B34,'Criteria (simple)'!$J$2:$J$20,"&lt;&gt;")&amp;"/"&amp;'Scoring (simple)'!D20</f>
        <v>1/1</v>
      </c>
      <c r="D34" s="25" t="n">
        <f aca="false">'Scoring (simple)'!H20</f>
        <v>0</v>
      </c>
      <c r="E34" s="33" t="n">
        <f aca="false">'Scoring (simple)'!C20</f>
        <v>8</v>
      </c>
      <c r="F34" s="48" t="n">
        <f aca="false">'Scoring (simple)'!G20</f>
        <v>0</v>
      </c>
    </row>
    <row r="35" customFormat="false" ht="15" hidden="false" customHeight="false" outlineLevel="0" collapsed="false">
      <c r="B35" s="33" t="str">
        <f aca="false">'Scoring (simple)'!B21</f>
        <v>Brand and visual consistency</v>
      </c>
      <c r="C35" s="47" t="str">
        <f aca="false">COUNTIFS('Criteria (simple)'!$B$2:$B$20,B35,'Criteria (simple)'!$J$2:$J$20,"&lt;&gt;")&amp;"/"&amp;'Scoring (simple)'!D21</f>
        <v>1/1</v>
      </c>
      <c r="D35" s="25" t="n">
        <f aca="false">'Scoring (simple)'!H21</f>
        <v>6</v>
      </c>
      <c r="E35" s="33" t="n">
        <f aca="false">'Scoring (simple)'!C21</f>
        <v>6</v>
      </c>
      <c r="F35" s="48" t="n">
        <f aca="false">'Scoring (simple)'!G21</f>
        <v>1</v>
      </c>
    </row>
    <row r="36" customFormat="false" ht="15" hidden="false" customHeight="false" outlineLevel="0" collapsed="false">
      <c r="B36" s="33" t="str">
        <f aca="false">'Scoring (simple)'!B22</f>
        <v>Security and privacy</v>
      </c>
      <c r="C36" s="47" t="str">
        <f aca="false">COUNTIFS('Criteria (simple)'!$B$2:$B$20,B36,'Criteria (simple)'!$J$2:$J$20,"&lt;&gt;")&amp;"/"&amp;'Scoring (simple)'!D22</f>
        <v>3/3</v>
      </c>
      <c r="D36" s="25" t="n">
        <f aca="false">'Scoring (simple)'!H22</f>
        <v>11.6666666666667</v>
      </c>
      <c r="E36" s="33" t="n">
        <f aca="false">'Scoring (simple)'!C22</f>
        <v>14</v>
      </c>
      <c r="F36" s="48" t="n">
        <f aca="false">'Scoring (simple)'!G22</f>
        <v>0.833333333333333</v>
      </c>
    </row>
    <row r="37" customFormat="false" ht="15" hidden="false" customHeight="false" outlineLevel="0" collapsed="false">
      <c r="B37" s="33" t="str">
        <f aca="false">'Scoring (simple)'!B23</f>
        <v>Reliability, observability and service levels</v>
      </c>
      <c r="C37" s="47" t="str">
        <f aca="false">COUNTIFS('Criteria (simple)'!$B$2:$B$20,B37,'Criteria (simple)'!$J$2:$J$20,"&lt;&gt;")&amp;"/"&amp;'Scoring (simple)'!D23</f>
        <v>3/3</v>
      </c>
      <c r="D37" s="25" t="n">
        <f aca="false">'Scoring (simple)'!H23</f>
        <v>6.5</v>
      </c>
      <c r="E37" s="33" t="n">
        <f aca="false">'Scoring (simple)'!C23</f>
        <v>13</v>
      </c>
      <c r="F37" s="48" t="n">
        <f aca="false">'Scoring (simple)'!G23</f>
        <v>0.5</v>
      </c>
    </row>
    <row r="38" customFormat="false" ht="15" hidden="false" customHeight="false" outlineLevel="0" collapsed="false">
      <c r="B38" s="33" t="str">
        <f aca="false">'Scoring (simple)'!B24</f>
        <v>Support and contact channels</v>
      </c>
      <c r="C38" s="47" t="str">
        <f aca="false">COUNTIFS('Criteria (simple)'!$B$2:$B$20,B38,'Criteria (simple)'!$J$2:$J$20,"&lt;&gt;")&amp;"/"&amp;'Scoring (simple)'!D24</f>
        <v>1/1</v>
      </c>
      <c r="D38" s="25" t="n">
        <f aca="false">'Scoring (simple)'!H24</f>
        <v>8</v>
      </c>
      <c r="E38" s="33" t="n">
        <f aca="false">'Scoring (simple)'!C24</f>
        <v>8</v>
      </c>
      <c r="F38" s="48" t="n">
        <f aca="false">'Scoring (simple)'!G24</f>
        <v>1</v>
      </c>
    </row>
    <row r="39" customFormat="false" ht="15" hidden="false" customHeight="false" outlineLevel="0" collapsed="false">
      <c r="B39" s="33" t="str">
        <f aca="false">'Scoring (simple)'!B25</f>
        <v>Legal and regulatory</v>
      </c>
      <c r="C39" s="47" t="str">
        <f aca="false">COUNTIFS('Criteria (simple)'!$B$2:$B$20,B39,'Criteria (simple)'!$J$2:$J$20,"&lt;&gt;")&amp;"/"&amp;'Scoring (simple)'!D25</f>
        <v>1/1</v>
      </c>
      <c r="D39" s="25" t="n">
        <f aca="false">'Scoring (simple)'!H25</f>
        <v>3</v>
      </c>
      <c r="E39" s="33" t="n">
        <f aca="false">'Scoring (simple)'!C25</f>
        <v>6</v>
      </c>
      <c r="F39" s="48" t="n">
        <f aca="false">'Scoring (simple)'!G25</f>
        <v>0.5</v>
      </c>
    </row>
    <row r="40" customFormat="false" ht="15" hidden="false" customHeight="false" outlineLevel="0" collapsed="false">
      <c r="B40" s="33" t="str">
        <f aca="false">'Scoring (simple)'!B26</f>
        <v>Content management and governance</v>
      </c>
      <c r="C40" s="47" t="str">
        <f aca="false">COUNTIFS('Criteria (simple)'!$B$2:$B$20,B40,'Criteria (simple)'!$J$2:$J$20,"&lt;&gt;")&amp;"/"&amp;'Scoring (simple)'!D26</f>
        <v>2/2</v>
      </c>
      <c r="D40" s="25" t="n">
        <f aca="false">'Scoring (simple)'!H26</f>
        <v>5</v>
      </c>
      <c r="E40" s="33" t="n">
        <f aca="false">'Scoring (simple)'!C26</f>
        <v>5</v>
      </c>
      <c r="F40" s="48" t="n">
        <f aca="false">'Scoring (simple)'!G26</f>
        <v>1</v>
      </c>
    </row>
    <row r="41" customFormat="false" ht="15" hidden="false" customHeight="false" outlineLevel="0" collapsed="false">
      <c r="B41" s="33" t="str">
        <f aca="false">'Scoring (simple)'!B27</f>
        <v>Measurement and continuous improvement</v>
      </c>
      <c r="C41" s="47" t="str">
        <f aca="false">COUNTIFS('Criteria (simple)'!$B$2:$B$20,B41,'Criteria (simple)'!$J$2:$J$20,"&lt;&gt;")&amp;"/"&amp;'Scoring (simple)'!D27</f>
        <v>2/2</v>
      </c>
      <c r="D41" s="25" t="n">
        <f aca="false">'Scoring (simple)'!H27</f>
        <v>1.25</v>
      </c>
      <c r="E41" s="33" t="n">
        <f aca="false">'Scoring (simple)'!C27</f>
        <v>5</v>
      </c>
      <c r="F41" s="48" t="n">
        <f aca="false">'Scoring (simple)'!G27</f>
        <v>0.25</v>
      </c>
    </row>
    <row r="43" customFormat="false" ht="15" hidden="false" customHeight="false" outlineLevel="0" collapsed="false">
      <c r="B43" s="3" t="s">
        <v>1096</v>
      </c>
    </row>
    <row r="44" customFormat="false" ht="60" hidden="false" customHeight="true" outlineLevel="0" collapsed="false">
      <c r="B44" s="32" t="s">
        <v>1097</v>
      </c>
      <c r="C44" s="32"/>
      <c r="D44" s="32"/>
      <c r="E44" s="32"/>
      <c r="F44" s="32"/>
      <c r="G44" s="32"/>
    </row>
  </sheetData>
  <mergeCells count="21">
    <mergeCell ref="C2:E2"/>
    <mergeCell ref="C3:E3"/>
    <mergeCell ref="B4:G4"/>
    <mergeCell ref="C7:E7"/>
    <mergeCell ref="C8:E8"/>
    <mergeCell ref="C9:E9"/>
    <mergeCell ref="C10:E10"/>
    <mergeCell ref="C13:E13"/>
    <mergeCell ref="C14:E14"/>
    <mergeCell ref="C15:G15"/>
    <mergeCell ref="C16:E16"/>
    <mergeCell ref="C17:E17"/>
    <mergeCell ref="C18:E18"/>
    <mergeCell ref="C19:G19"/>
    <mergeCell ref="D23:F23"/>
    <mergeCell ref="D24:F24"/>
    <mergeCell ref="D25:F25"/>
    <mergeCell ref="D26:F26"/>
    <mergeCell ref="D27:F27"/>
    <mergeCell ref="D28:F28"/>
    <mergeCell ref="B44:G44"/>
  </mergeCells>
  <conditionalFormatting sqref="C7:E8">
    <cfRule type="expression" priority="2" aboveAverage="0" equalAverage="0" bottom="0" percent="0" rank="0" text="" dxfId="9">
      <formula>AND(ISNUMBER($C$7),OR($C$9&gt;0,$C$7&lt;$K$8))</formula>
    </cfRule>
    <cfRule type="expression" priority="3" aboveAverage="0" equalAverage="0" bottom="0" percent="0" rank="0" text="" dxfId="10">
      <formula>AND(ISNUMBER($C$7),$C$9=0,$C$7&gt;=$K$7)</formula>
    </cfRule>
    <cfRule type="expression" priority="4" aboveAverage="0" equalAverage="0" bottom="0" percent="0" rank="0" text="" dxfId="11">
      <formula>AND(ISNUMBER($C$7),$C$9=0,$C$7&gt;=$K$9)</formula>
    </cfRule>
    <cfRule type="expression" priority="5" aboveAverage="0" equalAverage="0" bottom="0" percent="0" rank="0" text="" dxfId="12">
      <formula>ISNUMBER($C$7)</formula>
    </cfRule>
  </conditionalFormatting>
  <conditionalFormatting sqref="C13:E14">
    <cfRule type="expression" priority="6" aboveAverage="0" equalAverage="0" bottom="0" percent="0" rank="0" text="" dxfId="10">
      <formula>$C$13=1</formula>
    </cfRule>
    <cfRule type="expression" priority="7" aboveAverage="0" equalAverage="0" bottom="0" percent="0" rank="0" text="" dxfId="13">
      <formula>$C$13=2</formula>
    </cfRule>
    <cfRule type="expression" priority="8" aboveAverage="0" equalAverage="0" bottom="0" percent="0" rank="0" text="" dxfId="11">
      <formula>$C$13=3</formula>
    </cfRule>
    <cfRule type="expression" priority="9" aboveAverage="0" equalAverage="0" bottom="0" percent="0" rank="0" text="" dxfId="14">
      <formula>$C$13=4</formula>
    </cfRule>
    <cfRule type="expression" priority="10" aboveAverage="0" equalAverage="0" bottom="0" percent="0" rank="0" text="" dxfId="9">
      <formula>$C$13=5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40"/>
    <col collapsed="false" customWidth="true" hidden="false" outlineLevel="0" max="4" min="4" style="0" width="18"/>
    <col collapsed="false" customWidth="true" hidden="false" outlineLevel="0" max="5" min="5" style="0" width="60"/>
    <col collapsed="false" customWidth="true" hidden="false" outlineLevel="0" max="6" min="6" style="0" width="26"/>
    <col collapsed="false" customWidth="true" hidden="false" outlineLevel="0" max="7" min="7" style="0" width="46"/>
    <col collapsed="false" customWidth="true" hidden="false" outlineLevel="0" max="8" min="8" style="0" width="30"/>
  </cols>
  <sheetData>
    <row r="1" customFormat="false" ht="15" hidden="false" customHeight="false" outlineLevel="0" collapsed="false">
      <c r="A1" s="9" t="s">
        <v>86</v>
      </c>
      <c r="B1" s="9" t="s">
        <v>1098</v>
      </c>
      <c r="C1" s="9" t="s">
        <v>1099</v>
      </c>
      <c r="D1" s="9" t="s">
        <v>54</v>
      </c>
      <c r="E1" s="9" t="s">
        <v>1100</v>
      </c>
      <c r="F1" s="9" t="s">
        <v>1101</v>
      </c>
      <c r="G1" s="9" t="s">
        <v>1102</v>
      </c>
      <c r="H1" s="9" t="s">
        <v>1103</v>
      </c>
    </row>
    <row r="2" customFormat="false" ht="46.25" hidden="false" customHeight="false" outlineLevel="0" collapsed="false">
      <c r="A2" s="10" t="s">
        <v>1104</v>
      </c>
      <c r="B2" s="10" t="s">
        <v>1105</v>
      </c>
      <c r="C2" s="10" t="s">
        <v>1106</v>
      </c>
      <c r="D2" s="10" t="s">
        <v>105</v>
      </c>
      <c r="E2" s="15" t="s">
        <v>110</v>
      </c>
      <c r="F2" s="10" t="s">
        <v>1107</v>
      </c>
      <c r="G2" s="10" t="s">
        <v>1108</v>
      </c>
      <c r="H2" s="10" t="s">
        <v>1109</v>
      </c>
    </row>
    <row r="3" customFormat="false" ht="57.45" hidden="false" customHeight="false" outlineLevel="0" collapsed="false">
      <c r="A3" s="10" t="s">
        <v>1110</v>
      </c>
      <c r="B3" s="10" t="s">
        <v>1105</v>
      </c>
      <c r="C3" s="10" t="s">
        <v>1111</v>
      </c>
      <c r="D3" s="10" t="s">
        <v>105</v>
      </c>
      <c r="E3" s="15" t="s">
        <v>501</v>
      </c>
      <c r="F3" s="10" t="s">
        <v>1107</v>
      </c>
      <c r="G3" s="10" t="s">
        <v>1108</v>
      </c>
      <c r="H3" s="10" t="s">
        <v>1112</v>
      </c>
    </row>
    <row r="4" customFormat="false" ht="23.85" hidden="false" customHeight="false" outlineLevel="0" collapsed="false">
      <c r="A4" s="10" t="s">
        <v>1113</v>
      </c>
      <c r="B4" s="10" t="s">
        <v>1105</v>
      </c>
      <c r="C4" s="10" t="s">
        <v>1114</v>
      </c>
      <c r="D4" s="10" t="s">
        <v>119</v>
      </c>
      <c r="E4" s="15" t="s">
        <v>416</v>
      </c>
      <c r="F4" s="10" t="s">
        <v>1107</v>
      </c>
      <c r="G4" s="10" t="s">
        <v>1108</v>
      </c>
      <c r="H4" s="10" t="s">
        <v>407</v>
      </c>
    </row>
    <row r="5" customFormat="false" ht="46.25" hidden="false" customHeight="false" outlineLevel="0" collapsed="false">
      <c r="A5" s="10" t="s">
        <v>1115</v>
      </c>
      <c r="B5" s="10" t="s">
        <v>1105</v>
      </c>
      <c r="C5" s="10" t="s">
        <v>1116</v>
      </c>
      <c r="D5" s="10" t="s">
        <v>1117</v>
      </c>
      <c r="E5" s="15" t="s">
        <v>198</v>
      </c>
      <c r="F5" s="10" t="s">
        <v>1107</v>
      </c>
      <c r="G5" s="10" t="s">
        <v>1108</v>
      </c>
      <c r="H5" s="10" t="s">
        <v>1118</v>
      </c>
    </row>
    <row r="6" customFormat="false" ht="35.05" hidden="false" customHeight="false" outlineLevel="0" collapsed="false">
      <c r="A6" s="10" t="s">
        <v>1119</v>
      </c>
      <c r="B6" s="10" t="s">
        <v>1105</v>
      </c>
      <c r="C6" s="10" t="s">
        <v>1120</v>
      </c>
      <c r="D6" s="10" t="s">
        <v>1117</v>
      </c>
      <c r="E6" s="15" t="s">
        <v>1121</v>
      </c>
      <c r="F6" s="10" t="s">
        <v>1122</v>
      </c>
      <c r="G6" s="10" t="s">
        <v>1108</v>
      </c>
      <c r="H6" s="10" t="s">
        <v>626</v>
      </c>
    </row>
    <row r="7" customFormat="false" ht="35.05" hidden="false" customHeight="false" outlineLevel="0" collapsed="false">
      <c r="A7" s="10" t="s">
        <v>1123</v>
      </c>
      <c r="B7" s="10" t="s">
        <v>1124</v>
      </c>
      <c r="C7" s="10" t="s">
        <v>1125</v>
      </c>
      <c r="D7" s="10" t="s">
        <v>119</v>
      </c>
      <c r="E7" s="15" t="s">
        <v>208</v>
      </c>
      <c r="F7" s="10" t="s">
        <v>1107</v>
      </c>
      <c r="G7" s="10" t="s">
        <v>1126</v>
      </c>
      <c r="H7" s="10" t="s">
        <v>199</v>
      </c>
    </row>
    <row r="8" customFormat="false" ht="23.85" hidden="false" customHeight="false" outlineLevel="0" collapsed="false">
      <c r="A8" s="10" t="s">
        <v>396</v>
      </c>
      <c r="B8" s="10" t="s">
        <v>1105</v>
      </c>
      <c r="C8" s="10" t="s">
        <v>1127</v>
      </c>
      <c r="D8" s="10" t="s">
        <v>119</v>
      </c>
      <c r="E8" s="15" t="s">
        <v>1128</v>
      </c>
      <c r="F8" s="10" t="s">
        <v>1107</v>
      </c>
      <c r="G8" s="10" t="s">
        <v>1108</v>
      </c>
      <c r="H8" s="10" t="s">
        <v>1129</v>
      </c>
    </row>
    <row r="9" customFormat="false" ht="35.05" hidden="false" customHeight="false" outlineLevel="0" collapsed="false">
      <c r="A9" s="10" t="s">
        <v>1130</v>
      </c>
      <c r="B9" s="10" t="s">
        <v>1131</v>
      </c>
      <c r="C9" s="10" t="s">
        <v>1132</v>
      </c>
      <c r="D9" s="10" t="s">
        <v>1133</v>
      </c>
      <c r="E9" s="15" t="s">
        <v>1134</v>
      </c>
      <c r="F9" s="10" t="s">
        <v>1107</v>
      </c>
      <c r="G9" s="10" t="s">
        <v>1135</v>
      </c>
      <c r="H9" s="10" t="s">
        <v>1136</v>
      </c>
    </row>
    <row r="10" customFormat="false" ht="23.85" hidden="false" customHeight="false" outlineLevel="0" collapsed="false">
      <c r="A10" s="10" t="s">
        <v>1137</v>
      </c>
      <c r="B10" s="10" t="s">
        <v>1131</v>
      </c>
      <c r="C10" s="10" t="s">
        <v>1138</v>
      </c>
      <c r="D10" s="10" t="s">
        <v>1139</v>
      </c>
      <c r="E10" s="15" t="s">
        <v>1140</v>
      </c>
      <c r="F10" s="10" t="s">
        <v>1107</v>
      </c>
      <c r="G10" s="10" t="s">
        <v>1141</v>
      </c>
      <c r="H10" s="10" t="s">
        <v>1142</v>
      </c>
    </row>
    <row r="11" customFormat="false" ht="35.05" hidden="false" customHeight="false" outlineLevel="0" collapsed="false">
      <c r="A11" s="10" t="s">
        <v>1143</v>
      </c>
      <c r="B11" s="10" t="s">
        <v>1131</v>
      </c>
      <c r="C11" s="10" t="s">
        <v>1144</v>
      </c>
      <c r="D11" s="10" t="s">
        <v>233</v>
      </c>
      <c r="E11" s="15" t="s">
        <v>121</v>
      </c>
      <c r="F11" s="10" t="s">
        <v>1107</v>
      </c>
      <c r="G11" s="10" t="s">
        <v>1141</v>
      </c>
      <c r="H11" s="10" t="s">
        <v>111</v>
      </c>
    </row>
    <row r="12" customFormat="false" ht="15" hidden="false" customHeight="false" outlineLevel="0" collapsed="false">
      <c r="A12" s="10" t="s">
        <v>1145</v>
      </c>
      <c r="B12" s="10" t="s">
        <v>1131</v>
      </c>
      <c r="C12" s="10" t="s">
        <v>1146</v>
      </c>
      <c r="D12" s="10" t="s">
        <v>233</v>
      </c>
      <c r="E12" s="15" t="s">
        <v>234</v>
      </c>
      <c r="F12" s="10" t="s">
        <v>1107</v>
      </c>
      <c r="G12" s="10" t="s">
        <v>1141</v>
      </c>
      <c r="H12" s="10" t="s">
        <v>226</v>
      </c>
    </row>
    <row r="13" customFormat="false" ht="23.85" hidden="false" customHeight="false" outlineLevel="0" collapsed="false">
      <c r="A13" s="10" t="s">
        <v>1147</v>
      </c>
      <c r="B13" s="10" t="s">
        <v>1131</v>
      </c>
      <c r="C13" s="10" t="s">
        <v>1148</v>
      </c>
      <c r="D13" s="10" t="s">
        <v>233</v>
      </c>
      <c r="E13" s="15" t="s">
        <v>1149</v>
      </c>
      <c r="F13" s="10" t="s">
        <v>1107</v>
      </c>
      <c r="G13" s="10" t="s">
        <v>1141</v>
      </c>
      <c r="H13" s="10" t="s">
        <v>750</v>
      </c>
    </row>
    <row r="14" customFormat="false" ht="23.85" hidden="false" customHeight="false" outlineLevel="0" collapsed="false">
      <c r="A14" s="10" t="s">
        <v>1150</v>
      </c>
      <c r="B14" s="10" t="s">
        <v>1151</v>
      </c>
      <c r="C14" s="10" t="s">
        <v>1152</v>
      </c>
      <c r="D14" s="10" t="s">
        <v>1153</v>
      </c>
      <c r="E14" s="15" t="s">
        <v>1154</v>
      </c>
      <c r="F14" s="10" t="s">
        <v>1107</v>
      </c>
      <c r="G14" s="10" t="s">
        <v>1155</v>
      </c>
      <c r="H14" s="10" t="s">
        <v>1156</v>
      </c>
    </row>
    <row r="15" customFormat="false" ht="46.25" hidden="false" customHeight="false" outlineLevel="0" collapsed="false">
      <c r="A15" s="10" t="s">
        <v>1157</v>
      </c>
      <c r="B15" s="10" t="s">
        <v>1158</v>
      </c>
      <c r="C15" s="10" t="s">
        <v>1159</v>
      </c>
      <c r="D15" s="10" t="s">
        <v>233</v>
      </c>
      <c r="E15" s="15" t="s">
        <v>819</v>
      </c>
      <c r="F15" s="10" t="s">
        <v>1107</v>
      </c>
      <c r="G15" s="10" t="s">
        <v>1160</v>
      </c>
      <c r="H15" s="10" t="s">
        <v>1161</v>
      </c>
    </row>
    <row r="16" customFormat="false" ht="23.85" hidden="false" customHeight="false" outlineLevel="0" collapsed="false">
      <c r="A16" s="10" t="s">
        <v>1162</v>
      </c>
      <c r="B16" s="10" t="s">
        <v>1158</v>
      </c>
      <c r="C16" s="10" t="s">
        <v>1163</v>
      </c>
      <c r="D16" s="10" t="s">
        <v>233</v>
      </c>
      <c r="E16" s="15" t="s">
        <v>326</v>
      </c>
      <c r="F16" s="10" t="s">
        <v>1107</v>
      </c>
      <c r="G16" s="10" t="s">
        <v>1164</v>
      </c>
      <c r="H16" s="10" t="s">
        <v>319</v>
      </c>
    </row>
    <row r="17" customFormat="false" ht="23.85" hidden="false" customHeight="false" outlineLevel="0" collapsed="false">
      <c r="A17" s="10" t="s">
        <v>1165</v>
      </c>
      <c r="B17" s="10" t="s">
        <v>1166</v>
      </c>
      <c r="C17" s="10" t="s">
        <v>1167</v>
      </c>
      <c r="D17" s="10" t="s">
        <v>233</v>
      </c>
      <c r="E17" s="15" t="s">
        <v>1168</v>
      </c>
      <c r="F17" s="10" t="s">
        <v>1122</v>
      </c>
      <c r="G17" s="10" t="s">
        <v>1169</v>
      </c>
      <c r="H17" s="10" t="s">
        <v>1170</v>
      </c>
    </row>
    <row r="18" customFormat="false" ht="23.85" hidden="false" customHeight="false" outlineLevel="0" collapsed="false">
      <c r="A18" s="10" t="s">
        <v>1171</v>
      </c>
      <c r="B18" s="10" t="s">
        <v>1166</v>
      </c>
      <c r="C18" s="10" t="s">
        <v>1172</v>
      </c>
      <c r="D18" s="10" t="s">
        <v>233</v>
      </c>
      <c r="E18" s="15" t="s">
        <v>608</v>
      </c>
      <c r="F18" s="10" t="s">
        <v>1107</v>
      </c>
      <c r="G18" s="10" t="s">
        <v>1169</v>
      </c>
      <c r="H18" s="10" t="s">
        <v>1173</v>
      </c>
    </row>
    <row r="19" customFormat="false" ht="35.05" hidden="false" customHeight="false" outlineLevel="0" collapsed="false">
      <c r="A19" s="10" t="s">
        <v>1174</v>
      </c>
      <c r="B19" s="10" t="s">
        <v>1175</v>
      </c>
      <c r="C19" s="10" t="s">
        <v>1176</v>
      </c>
      <c r="D19" s="10" t="s">
        <v>233</v>
      </c>
      <c r="E19" s="15" t="s">
        <v>367</v>
      </c>
      <c r="F19" s="10" t="s">
        <v>1107</v>
      </c>
      <c r="G19" s="10" t="s">
        <v>1177</v>
      </c>
      <c r="H19" s="10" t="s">
        <v>1178</v>
      </c>
    </row>
    <row r="20" customFormat="false" ht="23.85" hidden="false" customHeight="false" outlineLevel="0" collapsed="false">
      <c r="A20" s="10" t="s">
        <v>1179</v>
      </c>
      <c r="B20" s="10" t="s">
        <v>1180</v>
      </c>
      <c r="C20" s="10" t="s">
        <v>1181</v>
      </c>
      <c r="D20" s="10" t="s">
        <v>233</v>
      </c>
      <c r="E20" s="15" t="s">
        <v>461</v>
      </c>
      <c r="F20" s="10" t="s">
        <v>1107</v>
      </c>
      <c r="G20" s="10" t="s">
        <v>1182</v>
      </c>
      <c r="H20" s="10" t="s">
        <v>1183</v>
      </c>
    </row>
    <row r="21" customFormat="false" ht="23.85" hidden="false" customHeight="false" outlineLevel="0" collapsed="false">
      <c r="A21" s="10" t="s">
        <v>1184</v>
      </c>
      <c r="B21" s="10" t="s">
        <v>1185</v>
      </c>
      <c r="C21" s="10" t="s">
        <v>1186</v>
      </c>
      <c r="D21" s="10" t="s">
        <v>1187</v>
      </c>
      <c r="E21" s="15" t="s">
        <v>451</v>
      </c>
      <c r="F21" s="10" t="s">
        <v>1107</v>
      </c>
      <c r="G21" s="10" t="s">
        <v>1188</v>
      </c>
      <c r="H21" s="10" t="s">
        <v>1189</v>
      </c>
    </row>
    <row r="22" customFormat="false" ht="23.85" hidden="false" customHeight="false" outlineLevel="0" collapsed="false">
      <c r="A22" s="10" t="s">
        <v>1190</v>
      </c>
      <c r="B22" s="10" t="s">
        <v>1185</v>
      </c>
      <c r="C22" s="10" t="s">
        <v>1191</v>
      </c>
      <c r="D22" s="10" t="s">
        <v>1187</v>
      </c>
      <c r="E22" s="15" t="s">
        <v>1192</v>
      </c>
      <c r="F22" s="10" t="s">
        <v>1107</v>
      </c>
      <c r="G22" s="10" t="s">
        <v>1188</v>
      </c>
      <c r="H22" s="10" t="s">
        <v>441</v>
      </c>
    </row>
    <row r="23" customFormat="false" ht="23.85" hidden="false" customHeight="false" outlineLevel="0" collapsed="false">
      <c r="A23" s="10" t="s">
        <v>1193</v>
      </c>
      <c r="B23" s="10" t="s">
        <v>1105</v>
      </c>
      <c r="C23" s="10" t="s">
        <v>1194</v>
      </c>
      <c r="D23" s="10" t="s">
        <v>119</v>
      </c>
      <c r="E23" s="15" t="s">
        <v>484</v>
      </c>
      <c r="F23" s="10" t="s">
        <v>1122</v>
      </c>
      <c r="G23" s="10" t="s">
        <v>1108</v>
      </c>
      <c r="H23" s="10" t="s">
        <v>477</v>
      </c>
    </row>
    <row r="24" customFormat="false" ht="15" hidden="false" customHeight="false" outlineLevel="0" collapsed="false">
      <c r="A24" s="10" t="s">
        <v>1195</v>
      </c>
      <c r="B24" s="10" t="s">
        <v>1196</v>
      </c>
      <c r="C24" s="10" t="s">
        <v>1197</v>
      </c>
      <c r="D24" s="10" t="s">
        <v>119</v>
      </c>
      <c r="E24" s="15" t="s">
        <v>1198</v>
      </c>
      <c r="F24" s="10" t="s">
        <v>1107</v>
      </c>
      <c r="G24" s="10" t="s">
        <v>1199</v>
      </c>
      <c r="H24" s="10" t="s">
        <v>477</v>
      </c>
    </row>
    <row r="25" customFormat="false" ht="23.85" hidden="false" customHeight="false" outlineLevel="0" collapsed="false">
      <c r="A25" s="10" t="s">
        <v>333</v>
      </c>
      <c r="B25" s="10" t="s">
        <v>1200</v>
      </c>
      <c r="C25" s="10" t="s">
        <v>1201</v>
      </c>
      <c r="D25" s="10" t="s">
        <v>105</v>
      </c>
      <c r="E25" s="15" t="s">
        <v>334</v>
      </c>
      <c r="F25" s="10" t="s">
        <v>1107</v>
      </c>
      <c r="G25" s="10" t="s">
        <v>1202</v>
      </c>
      <c r="H25" s="10" t="s">
        <v>1203</v>
      </c>
    </row>
    <row r="26" customFormat="false" ht="15" hidden="false" customHeight="false" outlineLevel="0" collapsed="false">
      <c r="A26" s="10" t="s">
        <v>1204</v>
      </c>
      <c r="B26" s="10" t="s">
        <v>1205</v>
      </c>
      <c r="C26" s="10" t="s">
        <v>1206</v>
      </c>
      <c r="D26" s="10" t="s">
        <v>119</v>
      </c>
      <c r="E26" s="15" t="s">
        <v>492</v>
      </c>
      <c r="F26" s="10" t="s">
        <v>1107</v>
      </c>
      <c r="G26" s="10" t="s">
        <v>1188</v>
      </c>
      <c r="H26" s="10" t="s">
        <v>485</v>
      </c>
    </row>
    <row r="27" customFormat="false" ht="35.05" hidden="false" customHeight="false" outlineLevel="0" collapsed="false">
      <c r="A27" s="10" t="s">
        <v>341</v>
      </c>
      <c r="B27" s="10" t="s">
        <v>1200</v>
      </c>
      <c r="C27" s="10" t="s">
        <v>1207</v>
      </c>
      <c r="D27" s="10" t="s">
        <v>1208</v>
      </c>
      <c r="E27" s="15" t="s">
        <v>343</v>
      </c>
      <c r="F27" s="10" t="s">
        <v>1107</v>
      </c>
      <c r="G27" s="10" t="s">
        <v>1202</v>
      </c>
      <c r="H27" s="10" t="s">
        <v>335</v>
      </c>
    </row>
    <row r="28" customFormat="false" ht="23.85" hidden="false" customHeight="false" outlineLevel="0" collapsed="false">
      <c r="A28" s="10" t="s">
        <v>1209</v>
      </c>
      <c r="B28" s="10" t="s">
        <v>1200</v>
      </c>
      <c r="C28" s="10" t="s">
        <v>1210</v>
      </c>
      <c r="D28" s="10" t="s">
        <v>1211</v>
      </c>
      <c r="E28" s="15" t="s">
        <v>1212</v>
      </c>
      <c r="F28" s="10" t="s">
        <v>1107</v>
      </c>
      <c r="G28" s="10" t="s">
        <v>1202</v>
      </c>
      <c r="H28" s="10" t="s">
        <v>335</v>
      </c>
    </row>
    <row r="29" customFormat="false" ht="23.85" hidden="false" customHeight="false" outlineLevel="0" collapsed="false">
      <c r="A29" s="10" t="s">
        <v>1213</v>
      </c>
      <c r="B29" s="10" t="s">
        <v>1200</v>
      </c>
      <c r="C29" s="10" t="s">
        <v>1214</v>
      </c>
      <c r="D29" s="10" t="s">
        <v>105</v>
      </c>
      <c r="E29" s="15" t="s">
        <v>1215</v>
      </c>
      <c r="F29" s="10" t="s">
        <v>1107</v>
      </c>
      <c r="G29" s="10" t="s">
        <v>1202</v>
      </c>
      <c r="H29" s="10" t="s">
        <v>670</v>
      </c>
    </row>
    <row r="30" customFormat="false" ht="23.85" hidden="false" customHeight="false" outlineLevel="0" collapsed="false">
      <c r="A30" s="10" t="s">
        <v>1216</v>
      </c>
      <c r="B30" s="10" t="s">
        <v>1217</v>
      </c>
      <c r="C30" s="10" t="s">
        <v>1218</v>
      </c>
      <c r="D30" s="10" t="s">
        <v>105</v>
      </c>
      <c r="E30" s="15" t="s">
        <v>677</v>
      </c>
      <c r="F30" s="10" t="s">
        <v>1107</v>
      </c>
      <c r="G30" s="10" t="s">
        <v>1188</v>
      </c>
      <c r="H30" s="10" t="s">
        <v>670</v>
      </c>
    </row>
    <row r="31" customFormat="false" ht="23.85" hidden="false" customHeight="false" outlineLevel="0" collapsed="false">
      <c r="A31" s="10" t="s">
        <v>684</v>
      </c>
      <c r="B31" s="10" t="s">
        <v>1200</v>
      </c>
      <c r="C31" s="10" t="s">
        <v>1219</v>
      </c>
      <c r="D31" s="10" t="s">
        <v>105</v>
      </c>
      <c r="E31" s="15" t="s">
        <v>685</v>
      </c>
      <c r="F31" s="10" t="s">
        <v>1107</v>
      </c>
      <c r="G31" s="10" t="s">
        <v>1202</v>
      </c>
      <c r="H31" s="10" t="s">
        <v>678</v>
      </c>
    </row>
    <row r="32" customFormat="false" ht="23.85" hidden="false" customHeight="false" outlineLevel="0" collapsed="false">
      <c r="A32" s="10" t="s">
        <v>692</v>
      </c>
      <c r="B32" s="10" t="s">
        <v>1200</v>
      </c>
      <c r="C32" s="10" t="s">
        <v>1201</v>
      </c>
      <c r="D32" s="10" t="s">
        <v>105</v>
      </c>
      <c r="E32" s="15" t="s">
        <v>693</v>
      </c>
      <c r="F32" s="10" t="s">
        <v>1107</v>
      </c>
      <c r="G32" s="10" t="s">
        <v>1202</v>
      </c>
      <c r="H32" s="10" t="s">
        <v>686</v>
      </c>
    </row>
    <row r="33" customFormat="false" ht="23.85" hidden="false" customHeight="false" outlineLevel="0" collapsed="false">
      <c r="A33" s="10" t="s">
        <v>1220</v>
      </c>
      <c r="B33" s="10" t="s">
        <v>1200</v>
      </c>
      <c r="C33" s="10" t="s">
        <v>1221</v>
      </c>
      <c r="D33" s="10" t="s">
        <v>105</v>
      </c>
      <c r="E33" s="15" t="s">
        <v>1222</v>
      </c>
      <c r="F33" s="10" t="s">
        <v>1107</v>
      </c>
      <c r="G33" s="10" t="s">
        <v>1202</v>
      </c>
      <c r="H33" s="10" t="s">
        <v>686</v>
      </c>
    </row>
    <row r="34" customFormat="false" ht="23.85" hidden="false" customHeight="false" outlineLevel="0" collapsed="false">
      <c r="A34" s="10" t="s">
        <v>1223</v>
      </c>
      <c r="B34" s="10" t="s">
        <v>1200</v>
      </c>
      <c r="C34" s="10" t="s">
        <v>1214</v>
      </c>
      <c r="D34" s="10" t="s">
        <v>1224</v>
      </c>
      <c r="E34" s="15" t="s">
        <v>724</v>
      </c>
      <c r="F34" s="10" t="s">
        <v>1107</v>
      </c>
      <c r="G34" s="10" t="s">
        <v>1202</v>
      </c>
      <c r="H34" s="10" t="s">
        <v>717</v>
      </c>
    </row>
    <row r="35" customFormat="false" ht="23.85" hidden="false" customHeight="false" outlineLevel="0" collapsed="false">
      <c r="A35" s="10" t="s">
        <v>1225</v>
      </c>
      <c r="B35" s="10" t="s">
        <v>1200</v>
      </c>
      <c r="C35" s="10" t="s">
        <v>1214</v>
      </c>
      <c r="D35" s="10" t="s">
        <v>1226</v>
      </c>
      <c r="E35" s="15" t="s">
        <v>381</v>
      </c>
      <c r="F35" s="10" t="s">
        <v>1107</v>
      </c>
      <c r="G35" s="10" t="s">
        <v>1202</v>
      </c>
      <c r="H35" s="10" t="s">
        <v>374</v>
      </c>
    </row>
    <row r="36" customFormat="false" ht="23.85" hidden="false" customHeight="false" outlineLevel="0" collapsed="false">
      <c r="A36" s="10" t="s">
        <v>1227</v>
      </c>
      <c r="B36" s="10" t="s">
        <v>1228</v>
      </c>
      <c r="C36" s="10" t="s">
        <v>1229</v>
      </c>
      <c r="D36" s="10" t="s">
        <v>119</v>
      </c>
      <c r="E36" s="15" t="s">
        <v>716</v>
      </c>
      <c r="F36" s="10" t="s">
        <v>1107</v>
      </c>
      <c r="G36" s="10" t="s">
        <v>1108</v>
      </c>
      <c r="H36" s="10" t="s">
        <v>707</v>
      </c>
    </row>
    <row r="37" customFormat="false" ht="23.85" hidden="false" customHeight="false" outlineLevel="0" collapsed="false">
      <c r="A37" s="10" t="s">
        <v>1230</v>
      </c>
      <c r="B37" s="10" t="s">
        <v>1231</v>
      </c>
      <c r="C37" s="10" t="s">
        <v>1232</v>
      </c>
      <c r="D37" s="10" t="s">
        <v>119</v>
      </c>
      <c r="E37" s="15" t="s">
        <v>1233</v>
      </c>
      <c r="F37" s="10" t="s">
        <v>1107</v>
      </c>
      <c r="G37" s="10" t="s">
        <v>1108</v>
      </c>
      <c r="H37" s="10" t="s">
        <v>707</v>
      </c>
    </row>
    <row r="38" customFormat="false" ht="23.85" hidden="false" customHeight="false" outlineLevel="0" collapsed="false">
      <c r="A38" s="10" t="s">
        <v>1234</v>
      </c>
      <c r="B38" s="10" t="s">
        <v>1235</v>
      </c>
      <c r="C38" s="10" t="s">
        <v>1236</v>
      </c>
      <c r="D38" s="10" t="s">
        <v>119</v>
      </c>
      <c r="E38" s="15" t="s">
        <v>669</v>
      </c>
      <c r="F38" s="10" t="s">
        <v>1107</v>
      </c>
      <c r="G38" s="10" t="s">
        <v>1108</v>
      </c>
      <c r="H38" s="10" t="s">
        <v>661</v>
      </c>
    </row>
    <row r="39" customFormat="false" ht="23.85" hidden="false" customHeight="false" outlineLevel="0" collapsed="false">
      <c r="A39" s="10" t="s">
        <v>1237</v>
      </c>
      <c r="B39" s="10" t="s">
        <v>1238</v>
      </c>
      <c r="C39" s="10" t="s">
        <v>1239</v>
      </c>
      <c r="D39" s="10" t="s">
        <v>119</v>
      </c>
      <c r="E39" s="15" t="s">
        <v>390</v>
      </c>
      <c r="F39" s="10" t="s">
        <v>1107</v>
      </c>
      <c r="G39" s="10" t="s">
        <v>1188</v>
      </c>
      <c r="H39" s="10" t="s">
        <v>382</v>
      </c>
    </row>
    <row r="40" customFormat="false" ht="23.85" hidden="false" customHeight="false" outlineLevel="0" collapsed="false">
      <c r="A40" s="10" t="s">
        <v>1240</v>
      </c>
      <c r="B40" s="10" t="s">
        <v>1105</v>
      </c>
      <c r="C40" s="10" t="s">
        <v>1241</v>
      </c>
      <c r="D40" s="10" t="s">
        <v>119</v>
      </c>
      <c r="E40" s="15" t="s">
        <v>526</v>
      </c>
      <c r="F40" s="10" t="s">
        <v>1107</v>
      </c>
      <c r="G40" s="10" t="s">
        <v>1108</v>
      </c>
      <c r="H40" s="10" t="s">
        <v>519</v>
      </c>
    </row>
    <row r="41" customFormat="false" ht="23.85" hidden="false" customHeight="false" outlineLevel="0" collapsed="false">
      <c r="A41" s="10" t="s">
        <v>1242</v>
      </c>
      <c r="B41" s="10" t="s">
        <v>1243</v>
      </c>
      <c r="C41" s="10" t="s">
        <v>1244</v>
      </c>
      <c r="D41" s="10" t="s">
        <v>119</v>
      </c>
      <c r="E41" s="15" t="s">
        <v>435</v>
      </c>
      <c r="F41" s="10" t="s">
        <v>1107</v>
      </c>
      <c r="G41" s="10" t="s">
        <v>1108</v>
      </c>
      <c r="H41" s="10" t="s">
        <v>428</v>
      </c>
    </row>
    <row r="42" customFormat="false" ht="15" hidden="false" customHeight="false" outlineLevel="0" collapsed="false">
      <c r="A42" s="10" t="s">
        <v>1245</v>
      </c>
      <c r="B42" s="10" t="s">
        <v>1246</v>
      </c>
      <c r="C42" s="10" t="s">
        <v>1247</v>
      </c>
      <c r="D42" s="10" t="s">
        <v>119</v>
      </c>
      <c r="E42" s="15" t="s">
        <v>660</v>
      </c>
      <c r="F42" s="10" t="s">
        <v>1107</v>
      </c>
      <c r="G42" s="10" t="s">
        <v>1188</v>
      </c>
      <c r="H42" s="10" t="s">
        <v>653</v>
      </c>
    </row>
    <row r="43" customFormat="false" ht="23.85" hidden="false" customHeight="false" outlineLevel="0" collapsed="false">
      <c r="A43" s="10" t="s">
        <v>1248</v>
      </c>
      <c r="B43" s="10" t="s">
        <v>1249</v>
      </c>
      <c r="C43" s="10" t="s">
        <v>1250</v>
      </c>
      <c r="D43" s="10" t="s">
        <v>1251</v>
      </c>
      <c r="E43" s="15" t="s">
        <v>575</v>
      </c>
      <c r="F43" s="10" t="s">
        <v>1107</v>
      </c>
      <c r="G43" s="10" t="s">
        <v>1188</v>
      </c>
      <c r="H43" s="10" t="s">
        <v>568</v>
      </c>
    </row>
    <row r="44" customFormat="false" ht="23.85" hidden="false" customHeight="false" outlineLevel="0" collapsed="false">
      <c r="A44" s="10" t="s">
        <v>1252</v>
      </c>
      <c r="B44" s="10" t="s">
        <v>1253</v>
      </c>
      <c r="C44" s="10" t="s">
        <v>1254</v>
      </c>
      <c r="D44" s="10" t="s">
        <v>233</v>
      </c>
      <c r="E44" s="15" t="s">
        <v>280</v>
      </c>
      <c r="F44" s="10" t="s">
        <v>1107</v>
      </c>
      <c r="G44" s="10" t="s">
        <v>1255</v>
      </c>
      <c r="H44" s="10" t="s">
        <v>1256</v>
      </c>
    </row>
    <row r="45" customFormat="false" ht="23.85" hidden="false" customHeight="false" outlineLevel="0" collapsed="false">
      <c r="A45" s="10" t="s">
        <v>1257</v>
      </c>
      <c r="B45" s="10" t="s">
        <v>1258</v>
      </c>
      <c r="C45" s="10" t="s">
        <v>1259</v>
      </c>
      <c r="D45" s="10" t="s">
        <v>233</v>
      </c>
      <c r="E45" s="15" t="s">
        <v>1260</v>
      </c>
      <c r="F45" s="10" t="s">
        <v>1107</v>
      </c>
      <c r="G45" s="10" t="s">
        <v>1261</v>
      </c>
      <c r="H45" s="10" t="s">
        <v>254</v>
      </c>
    </row>
    <row r="46" customFormat="false" ht="35.05" hidden="false" customHeight="false" outlineLevel="0" collapsed="false">
      <c r="A46" s="10" t="s">
        <v>1262</v>
      </c>
      <c r="B46" s="10" t="s">
        <v>1263</v>
      </c>
      <c r="C46" s="10" t="s">
        <v>1264</v>
      </c>
      <c r="D46" s="10" t="s">
        <v>233</v>
      </c>
      <c r="E46" s="15" t="s">
        <v>811</v>
      </c>
      <c r="F46" s="10" t="s">
        <v>1107</v>
      </c>
      <c r="G46" s="10" t="s">
        <v>1265</v>
      </c>
      <c r="H46" s="10" t="s">
        <v>804</v>
      </c>
    </row>
    <row r="47" customFormat="false" ht="15" hidden="false" customHeight="false" outlineLevel="0" collapsed="false">
      <c r="A47" s="10" t="s">
        <v>1266</v>
      </c>
      <c r="B47" s="10" t="s">
        <v>1267</v>
      </c>
      <c r="C47" s="10" t="s">
        <v>1268</v>
      </c>
      <c r="D47" s="10" t="s">
        <v>233</v>
      </c>
      <c r="E47" s="15" t="s">
        <v>318</v>
      </c>
      <c r="F47" s="10" t="s">
        <v>1107</v>
      </c>
      <c r="G47" s="10" t="s">
        <v>1269</v>
      </c>
      <c r="H47" s="10" t="s">
        <v>311</v>
      </c>
    </row>
    <row r="48" customFormat="false" ht="15" hidden="false" customHeight="false" outlineLevel="0" collapsed="false">
      <c r="A48" s="10" t="s">
        <v>1270</v>
      </c>
      <c r="B48" s="10" t="s">
        <v>1271</v>
      </c>
      <c r="C48" s="10" t="s">
        <v>1272</v>
      </c>
      <c r="D48" s="10" t="s">
        <v>233</v>
      </c>
      <c r="E48" s="15" t="s">
        <v>476</v>
      </c>
      <c r="F48" s="10" t="s">
        <v>1107</v>
      </c>
      <c r="G48" s="10" t="s">
        <v>1273</v>
      </c>
      <c r="H48" s="10" t="s">
        <v>468</v>
      </c>
    </row>
    <row r="49" customFormat="false" ht="15" hidden="false" customHeight="false" outlineLevel="0" collapsed="false">
      <c r="A49" s="10" t="s">
        <v>1274</v>
      </c>
      <c r="B49" s="10" t="s">
        <v>1275</v>
      </c>
      <c r="C49" s="10" t="s">
        <v>1276</v>
      </c>
      <c r="D49" s="10" t="s">
        <v>233</v>
      </c>
      <c r="E49" s="15" t="s">
        <v>1277</v>
      </c>
      <c r="F49" s="10" t="s">
        <v>1107</v>
      </c>
      <c r="G49" s="10" t="s">
        <v>1273</v>
      </c>
      <c r="H49" s="10" t="s">
        <v>468</v>
      </c>
    </row>
    <row r="50" customFormat="false" ht="15" hidden="false" customHeight="false" outlineLevel="0" collapsed="false">
      <c r="A50" s="10" t="s">
        <v>1278</v>
      </c>
      <c r="B50" s="10" t="s">
        <v>1279</v>
      </c>
      <c r="C50" s="10" t="s">
        <v>1280</v>
      </c>
      <c r="D50" s="10" t="s">
        <v>233</v>
      </c>
      <c r="E50" s="15" t="s">
        <v>1281</v>
      </c>
      <c r="F50" s="10" t="s">
        <v>1107</v>
      </c>
      <c r="G50" s="10" t="s">
        <v>1282</v>
      </c>
      <c r="H50" s="10" t="s">
        <v>199</v>
      </c>
    </row>
    <row r="51" customFormat="false" ht="15" hidden="false" customHeight="false" outlineLevel="0" collapsed="false">
      <c r="A51" s="10" t="s">
        <v>1283</v>
      </c>
      <c r="B51" s="10" t="s">
        <v>1284</v>
      </c>
      <c r="C51" s="10" t="s">
        <v>1285</v>
      </c>
      <c r="D51" s="10" t="s">
        <v>233</v>
      </c>
      <c r="E51" s="15" t="s">
        <v>553</v>
      </c>
      <c r="F51" s="10" t="s">
        <v>1107</v>
      </c>
      <c r="G51" s="10" t="s">
        <v>1286</v>
      </c>
      <c r="H51" s="10" t="s">
        <v>1287</v>
      </c>
    </row>
    <row r="52" customFormat="false" ht="15" hidden="false" customHeight="false" outlineLevel="0" collapsed="false">
      <c r="A52" s="10" t="s">
        <v>1288</v>
      </c>
      <c r="B52" s="10" t="s">
        <v>1289</v>
      </c>
      <c r="C52" s="10" t="s">
        <v>1290</v>
      </c>
      <c r="D52" s="10" t="s">
        <v>233</v>
      </c>
      <c r="E52" s="15" t="s">
        <v>601</v>
      </c>
      <c r="F52" s="10" t="s">
        <v>1107</v>
      </c>
      <c r="G52" s="10" t="s">
        <v>1286</v>
      </c>
      <c r="H52" s="10" t="s">
        <v>593</v>
      </c>
    </row>
    <row r="53" customFormat="false" ht="15" hidden="false" customHeight="false" outlineLevel="0" collapsed="false">
      <c r="A53" s="10" t="s">
        <v>1291</v>
      </c>
      <c r="B53" s="10" t="s">
        <v>1292</v>
      </c>
      <c r="C53" s="10" t="s">
        <v>1293</v>
      </c>
      <c r="D53" s="10" t="s">
        <v>233</v>
      </c>
      <c r="E53" s="15" t="s">
        <v>1294</v>
      </c>
      <c r="F53" s="10" t="s">
        <v>1107</v>
      </c>
      <c r="G53" s="10" t="s">
        <v>1295</v>
      </c>
      <c r="H53" s="10" t="s">
        <v>1296</v>
      </c>
    </row>
    <row r="54" customFormat="false" ht="68.65" hidden="false" customHeight="false" outlineLevel="0" collapsed="false">
      <c r="A54" s="10" t="s">
        <v>1297</v>
      </c>
      <c r="B54" s="10" t="s">
        <v>1298</v>
      </c>
      <c r="C54" s="10" t="s">
        <v>1299</v>
      </c>
      <c r="D54" s="10" t="s">
        <v>1300</v>
      </c>
      <c r="E54" s="15" t="s">
        <v>734</v>
      </c>
      <c r="F54" s="10" t="s">
        <v>1107</v>
      </c>
      <c r="G54" s="10" t="s">
        <v>1301</v>
      </c>
      <c r="H54" s="10" t="s">
        <v>725</v>
      </c>
    </row>
    <row r="55" customFormat="false" ht="35.05" hidden="false" customHeight="false" outlineLevel="0" collapsed="false">
      <c r="A55" s="10" t="s">
        <v>1302</v>
      </c>
      <c r="B55" s="10" t="s">
        <v>1303</v>
      </c>
      <c r="C55" s="10" t="s">
        <v>1304</v>
      </c>
      <c r="D55" s="10" t="s">
        <v>1251</v>
      </c>
      <c r="E55" s="15" t="s">
        <v>1305</v>
      </c>
      <c r="F55" s="10" t="s">
        <v>1107</v>
      </c>
      <c r="G55" s="10" t="s">
        <v>1306</v>
      </c>
      <c r="H55" s="10" t="s">
        <v>725</v>
      </c>
    </row>
    <row r="57" customFormat="false" ht="15" hidden="false" customHeight="false" outlineLevel="0" collapsed="false">
      <c r="A57" s="41" t="s">
        <v>1307</v>
      </c>
    </row>
    <row r="58" customFormat="false" ht="15" hidden="false" customHeight="false" outlineLevel="0" collapsed="false">
      <c r="A58" s="7" t="s">
        <v>1308</v>
      </c>
    </row>
    <row r="59" customFormat="false" ht="15" hidden="false" customHeight="false" outlineLevel="0" collapsed="false">
      <c r="A59" s="7" t="s">
        <v>1309</v>
      </c>
    </row>
  </sheetData>
  <autoFilter ref="A1:H55"/>
  <hyperlinks>
    <hyperlink ref="E2" r:id="rId1" display="https://www.digital.govt.nz/standards-and-guidance/nz-government-web-standards/web-accessibility-standard-1-2"/>
    <hyperlink ref="E3" r:id="rId2" display="https://www.digital.govt.nz/standards-and-guidance/nz-government-web-standards/web-usability-standard-1-4"/>
    <hyperlink ref="E4" r:id="rId3" display="https://www.digital.govt.nz/standards-and-guidance/design-and-ux/usability/nz-government-logo-markup"/>
    <hyperlink ref="E5" r:id="rId4" display="https://www.digital.govt.nz/standards-and-guidance/nz-government-web-standards/digital-accessibility-standard"/>
    <hyperlink ref="E6" r:id="rId5" display="https://www.digital.govt.nz/assets/Standards-guidance/NZ-government-web-standards/DAS/Digital-Accessibility-Standard-DAS-Large-print.pdf"/>
    <hyperlink ref="E7" r:id="rId6" display="https://github.com/GOVTNZ/cwac"/>
    <hyperlink ref="E8" r:id="rId7" display="https://www.digital.govt.nz/standards-and-guidance/digital-service-design-standard"/>
    <hyperlink ref="E9" r:id="rId8" display="https://www.w3.org/TR/WCAG22/"/>
    <hyperlink ref="E10" r:id="rId9" display="https://www.w3.org/TR/wcag-3.0/"/>
    <hyperlink ref="E11" r:id="rId10" display="https://www.w3.org/WAI/test-evaluate/conformance/wcag-em/"/>
    <hyperlink ref="E12" r:id="rId11" display="https://www.w3.org/TR/maturity-model/"/>
    <hyperlink ref="E13" r:id="rId12" display="https://www.w3.org/TR/ATAG20/"/>
    <hyperlink ref="E14" r:id="rId13" display="https://www.etsi.org/deliver/etsi_en/301500_301599/301549/04.01.01_60/en_301549v040101p.pdf"/>
    <hyperlink ref="E15" r:id="rId14" display="https://www.gov.uk/service-manual/service-standard"/>
    <hyperlink ref="E16" r:id="rId15" display="https://www.gov.uk/service-manual/technology/designing-for-different-browsers-and-devices"/>
    <hyperlink ref="E17" r:id="rId16" display="https://www.digital.gov.au/policy/digital-experience/digital-service-standard"/>
    <hyperlink ref="E18" r:id="rId17" display="https://www.digital.gov.au/policy/digital-experience/digital-performance-standard"/>
    <hyperlink ref="E19" r:id="rId18" display="https://www.whitehouse.gov/wp-content/uploads/2023/09/M-23-22-Delivering-a-Digital-First-Public-Experience.pdf"/>
    <hyperlink ref="E20" r:id="rId19" display="https://owasp.org/projects/asvs"/>
    <hyperlink ref="E21" r:id="rId20" display="https://www.ncsc.govt.nz/nzism/"/>
    <hyperlink ref="E22" r:id="rId21" display="https://www.ncsc.govt.nz/protect-your-organisation/psr-annual-self-assessment/"/>
    <hyperlink ref="E23" r:id="rId22" display="https://www.digital.govt.nz/standards-and-guidance/identity/identification-management/identification-standards"/>
    <hyperlink ref="E24" r:id="rId23" display="https://www.realme.govt.nz/en-nz/"/>
    <hyperlink ref="E25" r:id="rId24" display="https://www.legislation.govt.nz/act/public/2020/31/en/latest/"/>
    <hyperlink ref="E26" r:id="rId25" display="https://www.privacy.org.nz/responsibilities/privacy-impact-assessments/"/>
    <hyperlink ref="E27" r:id="rId26" display="https://www.legislation.govt.nz/act/public/2022/0054/latest/whole.html"/>
    <hyperlink ref="E28" r:id="rId27" display="https://www.legislation.govt.nz/bill/government/2025/132/en/latest/"/>
    <hyperlink ref="E29" r:id="rId28" display="https://www.legislation.govt.nz/act/public/2005/0040/latest/whole.html"/>
    <hyperlink ref="E30" r:id="rId29" display="https://archives.govt.nz/manage-information/how-to-manage-your-information/key-obligations-and-the-standard/information-and-records-management-standard"/>
    <hyperlink ref="E31" r:id="rId30" display="https://www.legislation.govt.nz/act/public/1982/156/en/latest/"/>
    <hyperlink ref="E32" r:id="rId31" display="https://www.legislation.govt.nz/act/public/1993/82/en/latest/"/>
    <hyperlink ref="E33" r:id="rId32" display="https://legislation.govt.nz/act/public/1990/109/en/latest/"/>
    <hyperlink ref="E34" r:id="rId33" display="https://www.legislation.govt.nz/act/public/2020/0040/latest/LMS356875.html"/>
    <hyperlink ref="E35" r:id="rId34" display="https://www.legislation.govt.nz/act/public/2016/0017/latest/DLM6174566.html"/>
    <hyperlink ref="E36" r:id="rId35" display="https://data.govt.nz/algorithm-charter/"/>
    <hyperlink ref="E37" r:id="rId36" display="https://standards.digital.govt.nz/nz/generative-ai-guidance-gcdo/public-service-ai-framework/2025/en/"/>
    <hyperlink ref="E38" r:id="rId37" display="https://www.data.govt.nz/manage-data/policies/nzgoal"/>
    <hyperlink ref="E39" r:id="rId38" display="https://www.msd.govt.nz/about-msd-and-our-work/work-programmes/accessibility/accessibility-charter/the-charter.html"/>
    <hyperlink ref="E40" r:id="rId39" display="https://www.digital.govt.nz/standards-and-guidance/technology-and-architecture/cloud-services/assess-the-risks"/>
    <hyperlink ref="E41" r:id="rId40" display="https://www.digital.govt.nz/standards-and-guidance/technology-and-architecture/domain-names"/>
    <hyperlink ref="E42" r:id="rId41" display="https://www.ombudsman.parliament.nz/resources/effective-complaint-handling"/>
    <hyperlink ref="E43" r:id="rId42" display="https://www.procurement.govt.nz/government-procurement-framework/"/>
    <hyperlink ref="E44" r:id="rId43" display="https://www.nngroup.com/articles/ten-usability-heuristics/"/>
    <hyperlink ref="E45" r:id="rId44" display="https://www.iso.org/standard/63500.html"/>
    <hyperlink ref="E46" r:id="rId45" display="https://verdi.cs.ucl.ac.uk/constructDB/publications/brooke-susa-1996.html"/>
    <hyperlink ref="E47" r:id="rId46" display="https://web.dev/articles/vitals"/>
    <hyperlink ref="E48" r:id="rId47" display="https://developer.mozilla.org/en-US/observatory"/>
    <hyperlink ref="E49" r:id="rId48" display="https://www.ssllabs.com/ssltest/"/>
    <hyperlink ref="E50" r:id="rId49" display="https://github.com/dequelabs/axe-core"/>
    <hyperlink ref="E51" r:id="rId50" display="https://sre.google/books/"/>
    <hyperlink ref="E52" r:id="rId51" display="https://dora.dev/guides/dora-metrics/"/>
    <hyperlink ref="E53" r:id="rId52" display="https://www.peoplecert.org/browse-certifications/it-governance-and-service-management/ITIL-1"/>
    <hyperlink ref="E54" r:id="rId53" display="https://www.buddlefindlay.com/insights/resource-management-reform-an-overview-of-the-planning-act-and-natural-environment-act/"/>
    <hyperlink ref="E55" r:id="rId54" display="https://insidegovernment.co.nz/?p=3722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6"/>
    <col collapsed="false" customWidth="true" hidden="false" outlineLevel="0" max="4" min="4" style="0" width="26"/>
    <col collapsed="false" customWidth="true" hidden="false" outlineLevel="0" max="5" min="5" style="0" width="22"/>
    <col collapsed="false" customWidth="true" hidden="false" outlineLevel="0" max="17" min="6" style="0" width="60"/>
  </cols>
  <sheetData>
    <row r="1" customFormat="false" ht="31.5" hidden="false" customHeight="true" outlineLevel="0" collapsed="false">
      <c r="A1" s="9" t="s">
        <v>26</v>
      </c>
      <c r="B1" s="9" t="s">
        <v>1310</v>
      </c>
      <c r="C1" s="9" t="s">
        <v>7</v>
      </c>
      <c r="D1" s="9" t="s">
        <v>1311</v>
      </c>
      <c r="E1" s="9" t="s">
        <v>1312</v>
      </c>
      <c r="F1" s="9" t="s">
        <v>1313</v>
      </c>
      <c r="G1" s="9" t="s">
        <v>1314</v>
      </c>
      <c r="H1" s="9" t="s">
        <v>1315</v>
      </c>
      <c r="I1" s="9" t="s">
        <v>1316</v>
      </c>
      <c r="J1" s="9" t="s">
        <v>1317</v>
      </c>
      <c r="K1" s="9" t="s">
        <v>1318</v>
      </c>
      <c r="L1" s="9" t="s">
        <v>1319</v>
      </c>
      <c r="M1" s="9" t="s">
        <v>1320</v>
      </c>
      <c r="N1" s="9" t="s">
        <v>1321</v>
      </c>
      <c r="O1" s="9" t="s">
        <v>1322</v>
      </c>
      <c r="P1" s="9" t="s">
        <v>1323</v>
      </c>
      <c r="Q1" s="9" t="s">
        <v>1324</v>
      </c>
    </row>
    <row r="2" customFormat="false" ht="408.75" hidden="false" customHeight="true" outlineLevel="0" collapsed="false">
      <c r="A2" s="10" t="s">
        <v>1325</v>
      </c>
      <c r="B2" s="10" t="s">
        <v>1326</v>
      </c>
      <c r="C2" s="10" t="s">
        <v>1327</v>
      </c>
      <c r="D2" s="10" t="s">
        <v>1328</v>
      </c>
      <c r="E2" s="10" t="s">
        <v>1329</v>
      </c>
      <c r="F2" s="10" t="s">
        <v>1330</v>
      </c>
      <c r="G2" s="10" t="s">
        <v>1331</v>
      </c>
      <c r="H2" s="10" t="s">
        <v>1332</v>
      </c>
      <c r="I2" s="10" t="s">
        <v>1333</v>
      </c>
      <c r="J2" s="10" t="s">
        <v>1334</v>
      </c>
      <c r="K2" s="10" t="s">
        <v>1335</v>
      </c>
      <c r="L2" s="10" t="s">
        <v>1336</v>
      </c>
      <c r="M2" s="10" t="s">
        <v>1337</v>
      </c>
      <c r="N2" s="10" t="s">
        <v>1338</v>
      </c>
      <c r="O2" s="10" t="s">
        <v>1339</v>
      </c>
      <c r="P2" s="10" t="s">
        <v>1340</v>
      </c>
      <c r="Q2" s="10" t="s">
        <v>1341</v>
      </c>
    </row>
    <row r="3" customFormat="false" ht="408.75" hidden="false" customHeight="true" outlineLevel="0" collapsed="false">
      <c r="A3" s="10" t="s">
        <v>1342</v>
      </c>
      <c r="B3" s="10" t="s">
        <v>1326</v>
      </c>
      <c r="C3" s="10" t="s">
        <v>1327</v>
      </c>
      <c r="D3" s="10" t="s">
        <v>1328</v>
      </c>
      <c r="E3" s="10" t="s">
        <v>1329</v>
      </c>
      <c r="F3" s="10" t="s">
        <v>1343</v>
      </c>
      <c r="G3" s="10" t="s">
        <v>1344</v>
      </c>
      <c r="H3" s="10" t="s">
        <v>1345</v>
      </c>
      <c r="I3" s="10" t="s">
        <v>1346</v>
      </c>
      <c r="J3" s="10" t="s">
        <v>1347</v>
      </c>
      <c r="K3" s="10" t="s">
        <v>1348</v>
      </c>
      <c r="L3" s="10" t="s">
        <v>1349</v>
      </c>
      <c r="M3" s="10" t="s">
        <v>1350</v>
      </c>
      <c r="N3" s="10" t="s">
        <v>1351</v>
      </c>
      <c r="O3" s="10" t="s">
        <v>1352</v>
      </c>
      <c r="P3" s="10" t="s">
        <v>1353</v>
      </c>
      <c r="Q3" s="10" t="s">
        <v>1354</v>
      </c>
    </row>
    <row r="4" customFormat="false" ht="408.75" hidden="false" customHeight="true" outlineLevel="0" collapsed="false">
      <c r="A4" s="10" t="s">
        <v>1355</v>
      </c>
      <c r="B4" s="10" t="s">
        <v>1326</v>
      </c>
      <c r="C4" s="10" t="s">
        <v>1327</v>
      </c>
      <c r="D4" s="10" t="s">
        <v>1328</v>
      </c>
      <c r="E4" s="10" t="s">
        <v>1329</v>
      </c>
      <c r="F4" s="10" t="s">
        <v>1356</v>
      </c>
      <c r="G4" s="10" t="s">
        <v>1357</v>
      </c>
      <c r="H4" s="10" t="s">
        <v>1358</v>
      </c>
      <c r="I4" s="10" t="s">
        <v>1359</v>
      </c>
      <c r="J4" s="10" t="s">
        <v>1360</v>
      </c>
      <c r="K4" s="10" t="s">
        <v>1361</v>
      </c>
      <c r="L4" s="10" t="s">
        <v>1362</v>
      </c>
      <c r="M4" s="10" t="s">
        <v>1363</v>
      </c>
      <c r="N4" s="10" t="s">
        <v>1364</v>
      </c>
      <c r="O4" s="10" t="s">
        <v>1365</v>
      </c>
      <c r="P4" s="10" t="s">
        <v>1366</v>
      </c>
      <c r="Q4" s="10" t="s">
        <v>1367</v>
      </c>
    </row>
    <row r="5" customFormat="false" ht="408.75" hidden="false" customHeight="true" outlineLevel="0" collapsed="false">
      <c r="A5" s="10" t="s">
        <v>1368</v>
      </c>
      <c r="B5" s="10" t="s">
        <v>1326</v>
      </c>
      <c r="C5" s="10" t="s">
        <v>1327</v>
      </c>
      <c r="D5" s="10" t="s">
        <v>1328</v>
      </c>
      <c r="E5" s="10" t="s">
        <v>1329</v>
      </c>
      <c r="F5" s="10" t="s">
        <v>1369</v>
      </c>
      <c r="G5" s="10" t="s">
        <v>1370</v>
      </c>
      <c r="H5" s="10" t="s">
        <v>1371</v>
      </c>
      <c r="I5" s="10" t="s">
        <v>1372</v>
      </c>
      <c r="J5" s="10" t="s">
        <v>1373</v>
      </c>
      <c r="K5" s="10" t="s">
        <v>1374</v>
      </c>
      <c r="L5" s="10" t="s">
        <v>1375</v>
      </c>
      <c r="M5" s="10" t="s">
        <v>1376</v>
      </c>
      <c r="N5" s="10" t="s">
        <v>1377</v>
      </c>
      <c r="O5" s="10" t="s">
        <v>1378</v>
      </c>
      <c r="P5" s="10" t="s">
        <v>1379</v>
      </c>
      <c r="Q5" s="10" t="s">
        <v>1380</v>
      </c>
    </row>
    <row r="6" customFormat="false" ht="408.75" hidden="false" customHeight="true" outlineLevel="0" collapsed="false">
      <c r="A6" s="10" t="s">
        <v>1381</v>
      </c>
      <c r="B6" s="10" t="s">
        <v>1326</v>
      </c>
      <c r="C6" s="10" t="s">
        <v>1327</v>
      </c>
      <c r="D6" s="10" t="s">
        <v>1328</v>
      </c>
      <c r="E6" s="10" t="s">
        <v>1329</v>
      </c>
      <c r="F6" s="10" t="s">
        <v>1382</v>
      </c>
      <c r="G6" s="10" t="s">
        <v>1383</v>
      </c>
      <c r="H6" s="10" t="s">
        <v>1384</v>
      </c>
      <c r="I6" s="10" t="s">
        <v>1385</v>
      </c>
      <c r="J6" s="10" t="s">
        <v>1386</v>
      </c>
      <c r="K6" s="10" t="s">
        <v>1387</v>
      </c>
      <c r="L6" s="10" t="s">
        <v>1388</v>
      </c>
      <c r="M6" s="10" t="s">
        <v>1389</v>
      </c>
      <c r="N6" s="10" t="s">
        <v>1390</v>
      </c>
      <c r="O6" s="10" t="s">
        <v>1375</v>
      </c>
      <c r="P6" s="10" t="s">
        <v>1391</v>
      </c>
      <c r="Q6" s="10" t="s">
        <v>1392</v>
      </c>
    </row>
    <row r="7" customFormat="false" ht="408.75" hidden="false" customHeight="true" outlineLevel="0" collapsed="false">
      <c r="A7" s="10" t="s">
        <v>1393</v>
      </c>
      <c r="B7" s="10" t="s">
        <v>1326</v>
      </c>
      <c r="C7" s="10" t="s">
        <v>1327</v>
      </c>
      <c r="D7" s="10" t="s">
        <v>1328</v>
      </c>
      <c r="E7" s="10" t="s">
        <v>1329</v>
      </c>
      <c r="F7" s="10" t="s">
        <v>1394</v>
      </c>
      <c r="G7" s="10" t="s">
        <v>1395</v>
      </c>
      <c r="H7" s="10" t="s">
        <v>1396</v>
      </c>
      <c r="I7" s="10" t="s">
        <v>1385</v>
      </c>
      <c r="J7" s="10" t="s">
        <v>1375</v>
      </c>
      <c r="K7" s="10" t="s">
        <v>1397</v>
      </c>
      <c r="L7" s="10" t="s">
        <v>1375</v>
      </c>
      <c r="M7" s="10" t="s">
        <v>1389</v>
      </c>
      <c r="N7" s="10" t="s">
        <v>1390</v>
      </c>
      <c r="O7" s="10" t="s">
        <v>1375</v>
      </c>
      <c r="P7" s="10" t="s">
        <v>1398</v>
      </c>
      <c r="Q7" s="10" t="s">
        <v>1392</v>
      </c>
    </row>
    <row r="8" customFormat="false" ht="408.75" hidden="false" customHeight="true" outlineLevel="0" collapsed="false">
      <c r="A8" s="10" t="s">
        <v>1399</v>
      </c>
      <c r="B8" s="10" t="s">
        <v>1326</v>
      </c>
      <c r="C8" s="10" t="s">
        <v>1327</v>
      </c>
      <c r="D8" s="10" t="s">
        <v>1328</v>
      </c>
      <c r="E8" s="10" t="s">
        <v>1329</v>
      </c>
      <c r="F8" s="10" t="s">
        <v>1400</v>
      </c>
      <c r="G8" s="10" t="s">
        <v>1401</v>
      </c>
      <c r="H8" s="10" t="s">
        <v>1396</v>
      </c>
      <c r="I8" s="10" t="s">
        <v>1385</v>
      </c>
      <c r="J8" s="10" t="s">
        <v>1375</v>
      </c>
      <c r="K8" s="10" t="s">
        <v>1375</v>
      </c>
      <c r="L8" s="10" t="s">
        <v>1375</v>
      </c>
      <c r="M8" s="10" t="s">
        <v>1389</v>
      </c>
      <c r="N8" s="10" t="s">
        <v>1390</v>
      </c>
      <c r="O8" s="10" t="s">
        <v>1375</v>
      </c>
      <c r="P8" s="10" t="s">
        <v>1402</v>
      </c>
      <c r="Q8" s="10" t="s">
        <v>1403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2026-10-23T22:40:36Z</dcterms:created>
  <dc:creator>openpyxl</dc:creator>
  <dc:description/>
  <dc:language>en-US</dc:language>
  <cp:lastModifiedBy/>
  <dcterms:modified xsi:type="dcterms:W3CDTF">2026-10-23T22:40:36Z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